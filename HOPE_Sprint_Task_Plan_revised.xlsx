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Plan" sheetId="1" state="visible" r:id="rId3"/>
    <sheet name="Summary" sheetId="2" state="visible" r:id="rId4"/>
    <sheet name="Change Log" sheetId="3" state="visible" r:id="rId5"/>
  </sheets>
  <definedNames>
    <definedName function="false" hidden="true" localSheetId="2" name="_xlnm._FilterDatabase" vbProcedure="false">'Change Log'!$A$5:$H$37</definedName>
    <definedName function="false" hidden="true" localSheetId="0" name="_xlnm._FilterDatabase" vbProcedure="false">'Task Plan'!$A$4:$J$124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<sst xmlns="http://schemas.openxmlformats.org/spreadsheetml/2006/main" count="686" uniqueCount="334">
  <si>
    <t xml:space="preserve">HOPE, Inc. ERP - Planned Tasks per Team Member per Sprint</t>
  </si>
  <si>
    <t xml:space="preserve">Each task is one planned PR. Enter the member's name, update Status as work progresses (Merged = done), and paste the PR link. Use the filter on row 4 to view one sprint or one role. Light-blue cells were revised to add User Management and Reports (see Change Log).</t>
  </si>
  <si>
    <t xml:space="preserve">Task ID</t>
  </si>
  <si>
    <t xml:space="preserve">Sprint</t>
  </si>
  <si>
    <t xml:space="preserve">Week</t>
  </si>
  <si>
    <t xml:space="preserve">Role</t>
  </si>
  <si>
    <t xml:space="preserve">Assigned to (name)</t>
  </si>
  <si>
    <t xml:space="preserve">Task (one PR)</t>
  </si>
  <si>
    <t xml:space="preserve">Due (sprint day)</t>
  </si>
  <si>
    <t xml:space="preserve">Status</t>
  </si>
  <si>
    <t xml:space="preserve">PR link</t>
  </si>
  <si>
    <t xml:space="preserve">Notes</t>
  </si>
  <si>
    <t xml:space="preserve">S1-DEV-01</t>
  </si>
  <si>
    <t xml:space="preserve">Developer</t>
  </si>
  <si>
    <t xml:space="preserve">Project scaffold: app skeleton, env config, DB connection</t>
  </si>
  <si>
    <t xml:space="preserve">Not started</t>
  </si>
  <si>
    <t xml:space="preserve">S1-DEV-02</t>
  </si>
  <si>
    <t xml:space="preserve">Register user form and API (new users start as pending)</t>
  </si>
  <si>
    <t xml:space="preserve">S1-DEV-03</t>
  </si>
  <si>
    <t xml:space="preserve">Login and logout with session handling; password hashing and set-password on first login; blocked users cannot sign in</t>
  </si>
  <si>
    <t xml:space="preserve">S1-DEV-04</t>
  </si>
  <si>
    <t xml:space="preserve">Reset password: request, emailed token, reset form</t>
  </si>
  <si>
    <t xml:space="preserve">S1-DEV-05</t>
  </si>
  <si>
    <t xml:space="preserve">User Management screen: user list, Add User, Edit User, Block/Unblock; Admin manages Users only and Superadmin accounts are hidden</t>
  </si>
  <si>
    <t xml:space="preserve">S1-DEV-06</t>
  </si>
  <si>
    <t xml:space="preserve">Superadmin: approve pending users and designate admins; block removing or disabling the last remaining superadmin</t>
  </si>
  <si>
    <t xml:space="preserve">S1-DEV-07</t>
  </si>
  <si>
    <t xml:space="preserve">Rights dialog: admin/superadmin assign per-action rights by module (Customer, Product, Human Resources, Sales, Reports) with module checkbox and All/None; log every rights change in audit_log</t>
  </si>
  <si>
    <t xml:space="preserve">S1-DEV-08</t>
  </si>
  <si>
    <t xml:space="preserve">Main page: sidebar and module tiles by role and rights, plus server-side permission check</t>
  </si>
  <si>
    <t xml:space="preserve">S1-DBA-01</t>
  </si>
  <si>
    <t xml:space="preserve">DB Admin</t>
  </si>
  <si>
    <t xml:space="preserve">Team database setup, migration runner script, and student setup README (no Docker)</t>
  </si>
  <si>
    <t xml:space="preserve">S1-DBA-02</t>
  </si>
  <si>
    <t xml:space="preserve">Migration: HOPE base tables and sample data from HopeDB_audit.sql</t>
  </si>
  <si>
    <t xml:space="preserve">S1-DBA-03</t>
  </si>
  <si>
    <t xml:space="preserve">Migration: app_user (role, blocked flag), role, module, rights catalogue, user_permission (with soft delete)</t>
  </si>
  <si>
    <t xml:space="preserve">S1-DBA-04</t>
  </si>
  <si>
    <t xml:space="preserve">Migration: password reset token table (hashed, expiry, used flag)</t>
  </si>
  <si>
    <t xml:space="preserve">S1-DBA-05</t>
  </si>
  <si>
    <t xml:space="preserve">Seed data: one superadmin account per team member, modules (Customer, Product, Human Resources, Sales, Reports), the per-action rights catalogue (36 rights, guide 3.8), default roles (no passwords in the repo; first password set via one-time set-password link)</t>
  </si>
  <si>
    <t xml:space="preserve">S1-DBA-06</t>
  </si>
  <si>
    <t xml:space="preserve">Make audit_user() record the logged-in user in audit_log; test it</t>
  </si>
  <si>
    <t xml:space="preserve">S1-TST-01</t>
  </si>
  <si>
    <t xml:space="preserve">Tester</t>
  </si>
  <si>
    <t xml:space="preserve">Sprint 1 test plan and acceptance criteria</t>
  </si>
  <si>
    <t xml:space="preserve">S1-TST-02</t>
  </si>
  <si>
    <t xml:space="preserve">Test cases: register, login and logout, set and reset password (expired and reused token)</t>
  </si>
  <si>
    <t xml:space="preserve">S1-TST-03</t>
  </si>
  <si>
    <t xml:space="preserve">Test cases: User Management (add, edit, block/unblock, approve, designate admin; Admin cannot see or edit Superadmin; last-superadmin guard)</t>
  </si>
  <si>
    <t xml:space="preserve">S1-TST-04</t>
  </si>
  <si>
    <t xml:space="preserve">Permission matrix tests (superadmin/admin/user x each right), using registered and approved test accounts; menu, buttons and server all follow the rights</t>
  </si>
  <si>
    <t xml:space="preserve">S1-TST-05</t>
  </si>
  <si>
    <t xml:space="preserve">Automated smoke test: login and main page</t>
  </si>
  <si>
    <t xml:space="preserve">S1-TST-06</t>
  </si>
  <si>
    <t xml:space="preserve">Bug reports and fix verification</t>
  </si>
  <si>
    <t xml:space="preserve">S1-UIX-01</t>
  </si>
  <si>
    <t xml:space="preserve">UI/UX Designer</t>
  </si>
  <si>
    <t xml:space="preserve">Design system: colors, typography, core components</t>
  </si>
  <si>
    <t xml:space="preserve">S1-UIX-02</t>
  </si>
  <si>
    <t xml:space="preserve">Wireframes: login, register, set/reset password</t>
  </si>
  <si>
    <t xml:space="preserve">S1-UIX-03</t>
  </si>
  <si>
    <t xml:space="preserve">Wireframes: main page, User Management list and Rights dialog</t>
  </si>
  <si>
    <t xml:space="preserve">S1-UIX-04</t>
  </si>
  <si>
    <t xml:space="preserve">Hi-fi mockups (login, register, main page, User Management, Rights dialog) and developer handoff notes</t>
  </si>
  <si>
    <t xml:space="preserve">S1-UIX-05</t>
  </si>
  <si>
    <t xml:space="preserve">Usability review of built screens and fix list</t>
  </si>
  <si>
    <t xml:space="preserve">S1-SM-01</t>
  </si>
  <si>
    <t xml:space="preserve">Scrum Master</t>
  </si>
  <si>
    <t xml:space="preserve">Repo setup: branch protection, PR and issue templates</t>
  </si>
  <si>
    <t xml:space="preserve">S1-SM-02</t>
  </si>
  <si>
    <t xml:space="preserve">Sprint 1 board: stories with acceptance criteria; map all six guide modules to sprints within the 8-week limit</t>
  </si>
  <si>
    <t xml:space="preserve">S1-SM-03</t>
  </si>
  <si>
    <t xml:space="preserve">Team working agreement, Definition of Done, role guide</t>
  </si>
  <si>
    <t xml:space="preserve">S1-SM-04</t>
  </si>
  <si>
    <t xml:space="preserve">Mid-sprint check notes and impediment log</t>
  </si>
  <si>
    <t xml:space="preserve">S1-SM-05</t>
  </si>
  <si>
    <t xml:space="preserve">Sprint 1 review and retrospective report</t>
  </si>
  <si>
    <t xml:space="preserve">S2-DEV-01</t>
  </si>
  <si>
    <t xml:space="preserve">Customer list with search and filter (permission-checked)</t>
  </si>
  <si>
    <t xml:space="preserve">S2-DEV-02</t>
  </si>
  <si>
    <t xml:space="preserve">Customer create and edit form</t>
  </si>
  <si>
    <t xml:space="preserve">S2-DEV-03</t>
  </si>
  <si>
    <t xml:space="preserve">Customer soft delete and restore</t>
  </si>
  <si>
    <t xml:space="preserve">S2-DEV-04</t>
  </si>
  <si>
    <t xml:space="preserve">Product list with search and filter</t>
  </si>
  <si>
    <t xml:space="preserve">S2-DEV-05</t>
  </si>
  <si>
    <t xml:space="preserve">Product create and edit form</t>
  </si>
  <si>
    <t xml:space="preserve">S2-DEV-06</t>
  </si>
  <si>
    <t xml:space="preserve">Product soft delete and restore</t>
  </si>
  <si>
    <t xml:space="preserve">S2-DEV-07</t>
  </si>
  <si>
    <t xml:space="preserve">Price history: add, edit and delete price with effective date</t>
  </si>
  <si>
    <t xml:space="preserve">S2-DEV-08</t>
  </si>
  <si>
    <t xml:space="preserve">Current-price display on product page; per-action rights checks (Add/Edit/Delete) across both modules</t>
  </si>
  <si>
    <t xml:space="preserve">S2-DBA-01</t>
  </si>
  <si>
    <t xml:space="preserve">Customer and product active views, indexes</t>
  </si>
  <si>
    <t xml:space="preserve">S2-DBA-02</t>
  </si>
  <si>
    <t xml:space="preserve">Query: current price as of a given date</t>
  </si>
  <si>
    <t xml:space="preserve">S2-DBA-03</t>
  </si>
  <si>
    <t xml:space="preserve">Validation constraints (payTerms, unit)</t>
  </si>
  <si>
    <t xml:space="preserve">S2-DBA-04</t>
  </si>
  <si>
    <t xml:space="preserve">Verify child-record delete checks for customer and product</t>
  </si>
  <si>
    <t xml:space="preserve">S2-DBA-05</t>
  </si>
  <si>
    <t xml:space="preserve">Demo data for customer, product, price history</t>
  </si>
  <si>
    <t xml:space="preserve">S2-DBA-06</t>
  </si>
  <si>
    <t xml:space="preserve">Search performance check and index tuning</t>
  </si>
  <si>
    <t xml:space="preserve">S2-TST-01</t>
  </si>
  <si>
    <t xml:space="preserve">Test cases: customer module</t>
  </si>
  <si>
    <t xml:space="preserve">S2-TST-02</t>
  </si>
  <si>
    <t xml:space="preserve">Test cases: product and price history</t>
  </si>
  <si>
    <t xml:space="preserve">S2-TST-03</t>
  </si>
  <si>
    <t xml:space="preserve">Soft delete/restore tests, incl. delete blocked by active children</t>
  </si>
  <si>
    <t xml:space="preserve">S2-TST-04</t>
  </si>
  <si>
    <t xml:space="preserve">Per-right permission tests for customer and product (Add/Edit/Delete, price rights)</t>
  </si>
  <si>
    <t xml:space="preserve">S2-TST-05</t>
  </si>
  <si>
    <t xml:space="preserve">Regression test of Sprint 1</t>
  </si>
  <si>
    <t xml:space="preserve">S2-TST-06</t>
  </si>
  <si>
    <t xml:space="preserve">S2-UIX-01</t>
  </si>
  <si>
    <t xml:space="preserve">Wireframes: customer screens</t>
  </si>
  <si>
    <t xml:space="preserve">S2-UIX-02</t>
  </si>
  <si>
    <t xml:space="preserve">Wireframes: product and price history screens</t>
  </si>
  <si>
    <t xml:space="preserve">S2-UIX-03</t>
  </si>
  <si>
    <t xml:space="preserve">Hi-fi mockups and handoff notes</t>
  </si>
  <si>
    <t xml:space="preserve">S2-UIX-04</t>
  </si>
  <si>
    <t xml:space="preserve">Empty, error and confirm-delete states</t>
  </si>
  <si>
    <t xml:space="preserve">S2-UIX-05</t>
  </si>
  <si>
    <t xml:space="preserve">Usability review of built screens</t>
  </si>
  <si>
    <t xml:space="preserve">S2-SM-01</t>
  </si>
  <si>
    <t xml:space="preserve">Sprint 2 planning notes and board</t>
  </si>
  <si>
    <t xml:space="preserve">S2-SM-02</t>
  </si>
  <si>
    <t xml:space="preserve">Follow up Sprint 1 retro actions</t>
  </si>
  <si>
    <t xml:space="preserve">S2-SM-03</t>
  </si>
  <si>
    <t xml:space="preserve">Mid-sprint check and impediment log</t>
  </si>
  <si>
    <t xml:space="preserve">S2-SM-04</t>
  </si>
  <si>
    <t xml:space="preserve">Update velocity and burndown</t>
  </si>
  <si>
    <t xml:space="preserve">S2-SM-05</t>
  </si>
  <si>
    <t xml:space="preserve">Sprint 2 review and retrospective report</t>
  </si>
  <si>
    <t xml:space="preserve">S3-DEV-01</t>
  </si>
  <si>
    <t xml:space="preserve">Department list and CRUD</t>
  </si>
  <si>
    <t xml:space="preserve">S3-DEV-02</t>
  </si>
  <si>
    <t xml:space="preserve">Job list and CRUD</t>
  </si>
  <si>
    <t xml:space="preserve">S3-DEV-03</t>
  </si>
  <si>
    <t xml:space="preserve">Employee list with search and filter</t>
  </si>
  <si>
    <t xml:space="preserve">S3-DEV-04</t>
  </si>
  <si>
    <t xml:space="preserve">Employee create and edit form</t>
  </si>
  <si>
    <t xml:space="preserve">S3-DEV-05</t>
  </si>
  <si>
    <t xml:space="preserve">Employee soft delete/restore and separation date</t>
  </si>
  <si>
    <t xml:space="preserve">S3-DEV-06</t>
  </si>
  <si>
    <t xml:space="preserve">Job history: add, edit and delete promotion or transfer (effective date, salary)</t>
  </si>
  <si>
    <t xml:space="preserve">S3-DEV-07</t>
  </si>
  <si>
    <t xml:space="preserve">Employee profile with job timeline</t>
  </si>
  <si>
    <t xml:space="preserve">S3-DEV-08</t>
  </si>
  <si>
    <t xml:space="preserve">Restrict job history and salary visibility with the View Job History right</t>
  </si>
  <si>
    <t xml:space="preserve">S3-DBA-01</t>
  </si>
  <si>
    <t xml:space="preserve">Views/queries: employee current job and department</t>
  </si>
  <si>
    <t xml:space="preserve">S3-DBA-02</t>
  </si>
  <si>
    <t xml:space="preserve">Job history validation (no duplicate effective dates)</t>
  </si>
  <si>
    <t xml:space="preserve">S3-DBA-03</t>
  </si>
  <si>
    <t xml:space="preserve">Link app_user.empno to employee</t>
  </si>
  <si>
    <t xml:space="preserve">S3-DBA-04</t>
  </si>
  <si>
    <t xml:space="preserve">Verify child-record delete checks for employee, department, job</t>
  </si>
  <si>
    <t xml:space="preserve">S3-DBA-05</t>
  </si>
  <si>
    <t xml:space="preserve">HR demo data</t>
  </si>
  <si>
    <t xml:space="preserve">S3-DBA-06</t>
  </si>
  <si>
    <t xml:space="preserve">Indexes and backup/restore script</t>
  </si>
  <si>
    <t xml:space="preserve">S3-TST-01</t>
  </si>
  <si>
    <t xml:space="preserve">Test cases: department and job</t>
  </si>
  <si>
    <t xml:space="preserve">S3-TST-02</t>
  </si>
  <si>
    <t xml:space="preserve">Test cases: employee</t>
  </si>
  <si>
    <t xml:space="preserve">S3-TST-03</t>
  </si>
  <si>
    <t xml:space="preserve">Job history tests (effective date, salary)</t>
  </si>
  <si>
    <t xml:space="preserve">S3-TST-04</t>
  </si>
  <si>
    <t xml:space="preserve">Salary visibility and HR per-right permission tests</t>
  </si>
  <si>
    <t xml:space="preserve">S3-TST-05</t>
  </si>
  <si>
    <t xml:space="preserve">Regression test of Sprints 1-2</t>
  </si>
  <si>
    <t xml:space="preserve">S3-TST-06</t>
  </si>
  <si>
    <t xml:space="preserve">S3-UIX-01</t>
  </si>
  <si>
    <t xml:space="preserve">Wireframes: department and job screens</t>
  </si>
  <si>
    <t xml:space="preserve">S3-UIX-02</t>
  </si>
  <si>
    <t xml:space="preserve">Wireframes: employee and profile screens</t>
  </si>
  <si>
    <t xml:space="preserve">S3-UIX-03</t>
  </si>
  <si>
    <t xml:space="preserve">Job timeline component design</t>
  </si>
  <si>
    <t xml:space="preserve">S3-UIX-04</t>
  </si>
  <si>
    <t xml:space="preserve">S3-UIX-05</t>
  </si>
  <si>
    <t xml:space="preserve">S3-SM-01</t>
  </si>
  <si>
    <t xml:space="preserve">Sprint 3 planning notes and board</t>
  </si>
  <si>
    <t xml:space="preserve">S3-SM-02</t>
  </si>
  <si>
    <t xml:space="preserve">Re-prioritize any Sprint 2 carryover</t>
  </si>
  <si>
    <t xml:space="preserve">S3-SM-03</t>
  </si>
  <si>
    <t xml:space="preserve">S3-SM-04</t>
  </si>
  <si>
    <t xml:space="preserve">Update velocity and Sprint 4 risk register</t>
  </si>
  <si>
    <t xml:space="preserve">S3-SM-05</t>
  </si>
  <si>
    <t xml:space="preserve">Sprint 3 review and retrospective report</t>
  </si>
  <si>
    <t xml:space="preserve">S4-DEV-01</t>
  </si>
  <si>
    <t xml:space="preserve">Sales list with search and New Sale header (auto-numbered transaction, customer and salesperson drop-downs)</t>
  </si>
  <si>
    <t xml:space="preserve">S4-DEV-02</t>
  </si>
  <si>
    <t xml:space="preserve">Sale details: add, edit and delete line items (product, quantity); auto-fill unit price from price history as of sales date</t>
  </si>
  <si>
    <t xml:space="preserve">S4-DEV-03</t>
  </si>
  <si>
    <t xml:space="preserve">Record payment against a transaction</t>
  </si>
  <si>
    <t xml:space="preserve">S4-DEV-04</t>
  </si>
  <si>
    <t xml:space="preserve">Reports module, part 1: Product Master List, Active Employees, All Employees, Employee Job History (per-report rights, Print / Save as PDF)</t>
  </si>
  <si>
    <t xml:space="preserve">S4-DEV-05</t>
  </si>
  <si>
    <t xml:space="preserve">Reports module, part 2: Top Customers, Top Products, Top Sales (date range, Top N, per-report rights, Print / Save as PDF)</t>
  </si>
  <si>
    <t xml:space="preserve">S4-DEV-06</t>
  </si>
  <si>
    <t xml:space="preserve">Balance view per transaction and customer</t>
  </si>
  <si>
    <t xml:space="preserve">S4-DEV-07</t>
  </si>
  <si>
    <t xml:space="preserve">Sales soft delete and restore with status and stamp; Sale and Sale Detail rights enforced</t>
  </si>
  <si>
    <t xml:space="preserve">S4-DEV-08</t>
  </si>
  <si>
    <t xml:space="preserve">Audit log viewer for superadmin</t>
  </si>
  <si>
    <t xml:space="preserve">S4-DBA-01</t>
  </si>
  <si>
    <t xml:space="preserve">Query: sales totals and line amounts</t>
  </si>
  <si>
    <t xml:space="preserve">S4-DBA-02</t>
  </si>
  <si>
    <t xml:space="preserve">Payment balance view</t>
  </si>
  <si>
    <t xml:space="preserve">S4-DBA-03</t>
  </si>
  <si>
    <t xml:space="preserve">Report queries: master list, active/all employees, employee job history, Top Customers/Products/Sales (date range, Top N)</t>
  </si>
  <si>
    <t xml:space="preserve">S4-DBA-04</t>
  </si>
  <si>
    <t xml:space="preserve">Audit log query with filters</t>
  </si>
  <si>
    <t xml:space="preserve">S4-DBA-05</t>
  </si>
  <si>
    <t xml:space="preserve">Verify delete rules for sales with details or payments</t>
  </si>
  <si>
    <t xml:space="preserve">S4-DBA-06</t>
  </si>
  <si>
    <t xml:space="preserve">Final DB review: rebuild from migrations, backup, docs</t>
  </si>
  <si>
    <t xml:space="preserve">S4-TST-01</t>
  </si>
  <si>
    <t xml:space="preserve">Test cases: sales transaction and price-as-of-date</t>
  </si>
  <si>
    <t xml:space="preserve">S4-TST-02</t>
  </si>
  <si>
    <t xml:space="preserve">Payment and balance tests</t>
  </si>
  <si>
    <t xml:space="preserve">S4-TST-03</t>
  </si>
  <si>
    <t xml:space="preserve">Report tests: all seven reports (date range, Top N, per-report rights, Print / Save as PDF)</t>
  </si>
  <si>
    <t xml:space="preserve">S4-TST-04</t>
  </si>
  <si>
    <t xml:space="preserve">End-to-end test: register, approve, assign rights, login, sell, pay, run reports</t>
  </si>
  <si>
    <t xml:space="preserve">S4-TST-05</t>
  </si>
  <si>
    <t xml:space="preserve">Full regression across all modules</t>
  </si>
  <si>
    <t xml:space="preserve">S4-TST-06</t>
  </si>
  <si>
    <t xml:space="preserve">Final test sign-off report</t>
  </si>
  <si>
    <t xml:space="preserve">S4-UIX-01</t>
  </si>
  <si>
    <t xml:space="preserve">Wireframes: sales entry and line items</t>
  </si>
  <si>
    <t xml:space="preserve">S4-UIX-02</t>
  </si>
  <si>
    <t xml:space="preserve">Wireframes: payment and balance screens</t>
  </si>
  <si>
    <t xml:space="preserve">S4-UIX-03</t>
  </si>
  <si>
    <t xml:space="preserve">Report screens (7 reports, filters, Print / Save as PDF) and audit-viewer design</t>
  </si>
  <si>
    <t xml:space="preserve">S4-UIX-04</t>
  </si>
  <si>
    <t xml:space="preserve">S4-UIX-05</t>
  </si>
  <si>
    <t xml:space="preserve">Final UI consistency and usability pass</t>
  </si>
  <si>
    <t xml:space="preserve">S4-SM-01</t>
  </si>
  <si>
    <t xml:space="preserve">Sprint 4 planning notes and board</t>
  </si>
  <si>
    <t xml:space="preserve">S4-SM-02</t>
  </si>
  <si>
    <t xml:space="preserve">S4-SM-03</t>
  </si>
  <si>
    <t xml:space="preserve">Release checklist and demo script</t>
  </si>
  <si>
    <t xml:space="preserve">S4-SM-04</t>
  </si>
  <si>
    <t xml:space="preserve">Collect final peer evaluations</t>
  </si>
  <si>
    <t xml:space="preserve">S4-SM-05</t>
  </si>
  <si>
    <t xml:space="preserve">Final review, retrospective and project report</t>
  </si>
  <si>
    <t xml:space="preserve">Progress Summary (planned vs merged PRs)</t>
  </si>
  <si>
    <t xml:space="preserve">Formulas read the Task Plan sheet. 'Merged' = done.</t>
  </si>
  <si>
    <t xml:space="preserve">S1 planned</t>
  </si>
  <si>
    <t xml:space="preserve">S1 merged</t>
  </si>
  <si>
    <t xml:space="preserve">S2 planned</t>
  </si>
  <si>
    <t xml:space="preserve">S2 merged</t>
  </si>
  <si>
    <t xml:space="preserve">S3 planned</t>
  </si>
  <si>
    <t xml:space="preserve">S3 merged</t>
  </si>
  <si>
    <t xml:space="preserve">S4 planned</t>
  </si>
  <si>
    <t xml:space="preserve">S4 merged</t>
  </si>
  <si>
    <t xml:space="preserve">Total planned</t>
  </si>
  <si>
    <t xml:space="preserve">Total merged</t>
  </si>
  <si>
    <t xml:space="preserve">% done</t>
  </si>
  <si>
    <t xml:space="preserve">Team total</t>
  </si>
  <si>
    <t xml:space="preserve">Note: planned task counts per sprint (8/6/6/5/5) equal each role's full-score PR target (midterm target; final target = 3 sprints x same count).</t>
  </si>
  <si>
    <t xml:space="preserve">Change Log: User Management and Reports added within the same 8 weeks</t>
  </si>
  <si>
    <t xml:space="preserve">Fixed limits kept: 4 sprints x 2 weeks = 8 weeks, and the per-role PR targets (8/6/6/5/5 per sprint). New work was fitted in by merging small tasks, not by adding tasks or weeks. Light-blue cells on Task Plan = revised rows.</t>
  </si>
  <si>
    <t xml:space="preserve">Check: total tasks</t>
  </si>
  <si>
    <t xml:space="preserve">Last week used</t>
  </si>
  <si>
    <t xml:space="preserve">Revised tasks</t>
  </si>
  <si>
    <t xml:space="preserve">Before</t>
  </si>
  <si>
    <t xml:space="preserve">After</t>
  </si>
  <si>
    <t xml:space="preserve">Old due day</t>
  </si>
  <si>
    <t xml:space="preserve">New due day</t>
  </si>
  <si>
    <t xml:space="preserve">Why</t>
  </si>
  <si>
    <t xml:space="preserve">Login and logout with session handling</t>
  </si>
  <si>
    <t xml:space="preserve">Merged old DEV-03 + DEV-04 (login + hashing/set-password) to free one PR slot; blocked-user check added (guide 3.8).</t>
  </si>
  <si>
    <t xml:space="preserve">Password hashing and set-password on first login</t>
  </si>
  <si>
    <t xml:space="preserve">Former DEV-05 moved up one ID after the merge above; text unchanged.</t>
  </si>
  <si>
    <t xml:space="preserve">NEW: the User Management module in the guide (3.8) had no PR. Uses the slot freed by the merge.</t>
  </si>
  <si>
    <t xml:space="preserve">Admin/superadmin: assign per-module rights (view, edit, delete); log every rights change in audit_log</t>
  </si>
  <si>
    <t xml:space="preserve">Guide uses per-action rights (36), not only view/edit/delete per module.</t>
  </si>
  <si>
    <t xml:space="preserve">Main page: module tiles by view right, plus server-side permission check</t>
  </si>
  <si>
    <t xml:space="preserve">Menu now follows per-action rights and role, as in the guide dashboards.</t>
  </si>
  <si>
    <t xml:space="preserve">Migration: app_user, role, module, user_permission (with soft delete)</t>
  </si>
  <si>
    <t xml:space="preserve">Needs a blocked flag and a per-action rights catalogue to support User Management.</t>
  </si>
  <si>
    <t xml:space="preserve">Seed data: one superadmin account per team member, 4 modules, default roles (no passwords in the repo; first password set via one-time set-password link)</t>
  </si>
  <si>
    <t xml:space="preserve">Seed matches the guide: five rights modules plus the 36-right catalogue (old text said 4 modules).</t>
  </si>
  <si>
    <t xml:space="preserve">Test cases: register and login</t>
  </si>
  <si>
    <t xml:space="preserve">Merged old TST-02 + TST-03 to free one test slot.</t>
  </si>
  <si>
    <t xml:space="preserve">Test cases: set and reset password (expired and reused token)</t>
  </si>
  <si>
    <t xml:space="preserve">NEW: tests for the User Management screen.</t>
  </si>
  <si>
    <t xml:space="preserve">Permission matrix tests (superadmin/admin/user x view/edit/delete), using registered and approved test accounts for admin and user</t>
  </si>
  <si>
    <t xml:space="preserve">Per-action rights; checks the UI and the server agree (a hidden button is not enough).</t>
  </si>
  <si>
    <t xml:space="preserve">Wireframes: main page and user-rights management</t>
  </si>
  <si>
    <t xml:space="preserve">Adds the User Management list screen to the wireframes.</t>
  </si>
  <si>
    <t xml:space="preserve">Hi-fi mockups and developer handoff notes</t>
  </si>
  <si>
    <t xml:space="preserve">Mockups now cover User Management.</t>
  </si>
  <si>
    <t xml:space="preserve">Sprint 1 board: stories with acceptance criteria</t>
  </si>
  <si>
    <t xml:space="preserve">Scrum Master keeps the module-to-sprint map so nothing slips past week 8.</t>
  </si>
  <si>
    <t xml:space="preserve">Price history: add price with effective date</t>
  </si>
  <si>
    <t xml:space="preserve">Guide price dialog has Edit and Delete as well as Add.</t>
  </si>
  <si>
    <t xml:space="preserve">Current-price display on product page; permission checks across both modules</t>
  </si>
  <si>
    <t xml:space="preserve">Aligned with per-action rights.</t>
  </si>
  <si>
    <t xml:space="preserve">Permission tests per module</t>
  </si>
  <si>
    <t xml:space="preserve">Job history: add promotion or transfer (effective date, salary)</t>
  </si>
  <si>
    <t xml:space="preserve">Guide has Add/Edit/Delete Job History rights.</t>
  </si>
  <si>
    <t xml:space="preserve">Restrict salary visibility by permission</t>
  </si>
  <si>
    <t xml:space="preserve">Aligned with the guide rights list.</t>
  </si>
  <si>
    <t xml:space="preserve">Salary visibility and permission tests</t>
  </si>
  <si>
    <t xml:space="preserve">Sales list with search</t>
  </si>
  <si>
    <t xml:space="preserve">Merged old DEV-01 + DEV-02 (list + create) to free a slot for Reports.</t>
  </si>
  <si>
    <t xml:space="preserve">Create sales transaction (customer, salesperson, date)</t>
  </si>
  <si>
    <t xml:space="preserve">Merged old DEV-03 + DEV-04 (line items + price lookup).</t>
  </si>
  <si>
    <t xml:space="preserve">Add line items (product, quantity)</t>
  </si>
  <si>
    <t xml:space="preserve">Former DEV-05; renumbered after the merges.</t>
  </si>
  <si>
    <t xml:space="preserve">Auto-fill unit price from price history as of sales date</t>
  </si>
  <si>
    <t xml:space="preserve">NEW: Reports module from the guide (3.7) had only one summary report.</t>
  </si>
  <si>
    <t xml:space="preserve">NEW: replaces the single Sales summary report with the three sales reports in the guide.</t>
  </si>
  <si>
    <t xml:space="preserve">Former DEV-06; renumbered.</t>
  </si>
  <si>
    <t xml:space="preserve">Sales summary report</t>
  </si>
  <si>
    <t xml:space="preserve">NEW: the guide shows deleted sales (T-004) and Restore; old plan had no dev PR for it.</t>
  </si>
  <si>
    <t xml:space="preserve">Report queries</t>
  </si>
  <si>
    <t xml:space="preserve">Covers all seven guide reports.</t>
  </si>
  <si>
    <t xml:space="preserve">Report and audit-viewer design</t>
  </si>
  <si>
    <t xml:space="preserve">Covers the Reports module screens.</t>
  </si>
  <si>
    <t xml:space="preserve">Test cases: sales transaction</t>
  </si>
  <si>
    <t xml:space="preserve">Merged old TST-01 + TST-02.</t>
  </si>
  <si>
    <t xml:space="preserve">Price-as-of-date tests</t>
  </si>
  <si>
    <t xml:space="preserve">Former TST-03; renumbered.</t>
  </si>
  <si>
    <t xml:space="preserve">NEW: tests for the Reports module.</t>
  </si>
  <si>
    <t xml:space="preserve">End-to-end test: register, approve, login, sell, pay</t>
  </si>
  <si>
    <t xml:space="preserve">Now includes User Management and Reports in the chain.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</si>
</sst>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E699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DDEBF7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8"/>
    <col collapsed="false" customWidth="true" hidden="false" outlineLevel="0" max="3" min="3" style="1" width="7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62"/>
    <col collapsed="false" customWidth="true" hidden="false" outlineLevel="0" max="7" min="7" style="1" width="11"/>
    <col collapsed="false" customWidth="true" hidden="false" outlineLevel="0" max="8" min="8" style="1" width="13"/>
    <col collapsed="false" customWidth="true" hidden="false" outlineLevel="0" max="9" min="9" style="1" width="28"/>
    <col collapsed="false" customWidth="true" hidden="false" outlineLevel="0" max="10" min="10" style="1" width="3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5" t="s">
        <v>12</v>
      </c>
      <c r="B5" s="6" t="n">
        <v>1</v>
      </c>
      <c r="C5" s="6" t="n">
        <v>1</v>
      </c>
      <c r="D5" s="5" t="s">
        <v>13</v>
      </c>
      <c r="E5" s="7"/>
      <c r="F5" s="8" t="s">
        <v>14</v>
      </c>
      <c r="G5" s="6" t="n">
        <v>2</v>
      </c>
      <c r="H5" s="9" t="s">
        <v>15</v>
      </c>
      <c r="I5" s="7"/>
      <c r="J5" s="10"/>
    </row>
    <row r="6" customFormat="false" ht="15" hidden="false" customHeight="true" outlineLevel="0" collapsed="false">
      <c r="A6" s="5" t="s">
        <v>16</v>
      </c>
      <c r="B6" s="6" t="n">
        <v>1</v>
      </c>
      <c r="C6" s="6" t="n">
        <v>1</v>
      </c>
      <c r="D6" s="5" t="s">
        <v>13</v>
      </c>
      <c r="E6" s="7"/>
      <c r="F6" s="8" t="s">
        <v>17</v>
      </c>
      <c r="G6" s="6" t="n">
        <v>4</v>
      </c>
      <c r="H6" s="9" t="s">
        <v>15</v>
      </c>
      <c r="I6" s="7"/>
      <c r="J6" s="10"/>
    </row>
    <row r="7" customFormat="false" ht="15" hidden="false" customHeight="true" outlineLevel="0" collapsed="false">
      <c r="A7" s="11" t="s">
        <v>18</v>
      </c>
      <c r="B7" s="6" t="n">
        <v>1</v>
      </c>
      <c r="C7" s="6" t="n">
        <v>2</v>
      </c>
      <c r="D7" s="5" t="s">
        <v>13</v>
      </c>
      <c r="E7" s="7"/>
      <c r="F7" s="12" t="s">
        <v>19</v>
      </c>
      <c r="G7" s="6" t="n">
        <v>6</v>
      </c>
      <c r="H7" s="9" t="s">
        <v>15</v>
      </c>
      <c r="I7" s="7"/>
      <c r="J7" s="10"/>
    </row>
    <row r="8" customFormat="false" ht="15" hidden="false" customHeight="true" outlineLevel="0" collapsed="false">
      <c r="A8" s="11" t="s">
        <v>20</v>
      </c>
      <c r="B8" s="6" t="n">
        <v>1</v>
      </c>
      <c r="C8" s="6" t="n">
        <v>2</v>
      </c>
      <c r="D8" s="5" t="s">
        <v>13</v>
      </c>
      <c r="E8" s="7"/>
      <c r="F8" s="12" t="s">
        <v>21</v>
      </c>
      <c r="G8" s="6" t="n">
        <v>7</v>
      </c>
      <c r="H8" s="9" t="s">
        <v>15</v>
      </c>
      <c r="I8" s="7"/>
      <c r="J8" s="10"/>
    </row>
    <row r="9" customFormat="false" ht="15" hidden="false" customHeight="true" outlineLevel="0" collapsed="false">
      <c r="A9" s="11" t="s">
        <v>22</v>
      </c>
      <c r="B9" s="6" t="n">
        <v>1</v>
      </c>
      <c r="C9" s="6" t="n">
        <v>2</v>
      </c>
      <c r="D9" s="5" t="s">
        <v>13</v>
      </c>
      <c r="E9" s="7"/>
      <c r="F9" s="12" t="s">
        <v>23</v>
      </c>
      <c r="G9" s="6" t="n">
        <v>8</v>
      </c>
      <c r="H9" s="9" t="s">
        <v>15</v>
      </c>
      <c r="I9" s="7"/>
      <c r="J9" s="10"/>
    </row>
    <row r="10" customFormat="false" ht="15" hidden="false" customHeight="true" outlineLevel="0" collapsed="false">
      <c r="A10" s="5" t="s">
        <v>24</v>
      </c>
      <c r="B10" s="6" t="n">
        <v>1</v>
      </c>
      <c r="C10" s="6" t="n">
        <v>2</v>
      </c>
      <c r="D10" s="5" t="s">
        <v>13</v>
      </c>
      <c r="E10" s="7"/>
      <c r="F10" s="8" t="s">
        <v>25</v>
      </c>
      <c r="G10" s="6" t="n">
        <v>8</v>
      </c>
      <c r="H10" s="9" t="s">
        <v>15</v>
      </c>
      <c r="I10" s="7"/>
      <c r="J10" s="10"/>
    </row>
    <row r="11" customFormat="false" ht="15" hidden="false" customHeight="true" outlineLevel="0" collapsed="false">
      <c r="A11" s="11" t="s">
        <v>26</v>
      </c>
      <c r="B11" s="6" t="n">
        <v>1</v>
      </c>
      <c r="C11" s="6" t="n">
        <v>2</v>
      </c>
      <c r="D11" s="5" t="s">
        <v>13</v>
      </c>
      <c r="E11" s="7"/>
      <c r="F11" s="12" t="s">
        <v>27</v>
      </c>
      <c r="G11" s="6" t="n">
        <v>9</v>
      </c>
      <c r="H11" s="9" t="s">
        <v>15</v>
      </c>
      <c r="I11" s="7"/>
      <c r="J11" s="10"/>
    </row>
    <row r="12" customFormat="false" ht="15" hidden="false" customHeight="true" outlineLevel="0" collapsed="false">
      <c r="A12" s="11" t="s">
        <v>28</v>
      </c>
      <c r="B12" s="6" t="n">
        <v>1</v>
      </c>
      <c r="C12" s="6" t="n">
        <v>2</v>
      </c>
      <c r="D12" s="5" t="s">
        <v>13</v>
      </c>
      <c r="E12" s="7"/>
      <c r="F12" s="12" t="s">
        <v>29</v>
      </c>
      <c r="G12" s="6" t="n">
        <v>9</v>
      </c>
      <c r="H12" s="9" t="s">
        <v>15</v>
      </c>
      <c r="I12" s="7"/>
      <c r="J12" s="10"/>
    </row>
    <row r="13" customFormat="false" ht="15" hidden="false" customHeight="true" outlineLevel="0" collapsed="false">
      <c r="A13" s="5" t="s">
        <v>30</v>
      </c>
      <c r="B13" s="6" t="n">
        <v>1</v>
      </c>
      <c r="C13" s="6" t="n">
        <v>1</v>
      </c>
      <c r="D13" s="5" t="s">
        <v>31</v>
      </c>
      <c r="E13" s="7"/>
      <c r="F13" s="8" t="s">
        <v>32</v>
      </c>
      <c r="G13" s="6" t="n">
        <v>2</v>
      </c>
      <c r="H13" s="9" t="s">
        <v>15</v>
      </c>
      <c r="I13" s="7"/>
      <c r="J13" s="10"/>
    </row>
    <row r="14" customFormat="false" ht="15" hidden="false" customHeight="true" outlineLevel="0" collapsed="false">
      <c r="A14" s="5" t="s">
        <v>33</v>
      </c>
      <c r="B14" s="6" t="n">
        <v>1</v>
      </c>
      <c r="C14" s="6" t="n">
        <v>1</v>
      </c>
      <c r="D14" s="5" t="s">
        <v>31</v>
      </c>
      <c r="E14" s="7"/>
      <c r="F14" s="8" t="s">
        <v>34</v>
      </c>
      <c r="G14" s="6" t="n">
        <v>3</v>
      </c>
      <c r="H14" s="9" t="s">
        <v>15</v>
      </c>
      <c r="I14" s="7"/>
      <c r="J14" s="10"/>
    </row>
    <row r="15" customFormat="false" ht="15" hidden="false" customHeight="true" outlineLevel="0" collapsed="false">
      <c r="A15" s="11" t="s">
        <v>35</v>
      </c>
      <c r="B15" s="6" t="n">
        <v>1</v>
      </c>
      <c r="C15" s="6" t="n">
        <v>1</v>
      </c>
      <c r="D15" s="5" t="s">
        <v>31</v>
      </c>
      <c r="E15" s="7"/>
      <c r="F15" s="12" t="s">
        <v>36</v>
      </c>
      <c r="G15" s="6" t="n">
        <v>4</v>
      </c>
      <c r="H15" s="9" t="s">
        <v>15</v>
      </c>
      <c r="I15" s="7"/>
      <c r="J15" s="10"/>
    </row>
    <row r="16" customFormat="false" ht="15" hidden="false" customHeight="true" outlineLevel="0" collapsed="false">
      <c r="A16" s="5" t="s">
        <v>37</v>
      </c>
      <c r="B16" s="6" t="n">
        <v>1</v>
      </c>
      <c r="C16" s="6" t="n">
        <v>1</v>
      </c>
      <c r="D16" s="5" t="s">
        <v>31</v>
      </c>
      <c r="E16" s="7"/>
      <c r="F16" s="8" t="s">
        <v>38</v>
      </c>
      <c r="G16" s="6" t="n">
        <v>5</v>
      </c>
      <c r="H16" s="9" t="s">
        <v>15</v>
      </c>
      <c r="I16" s="7"/>
      <c r="J16" s="10"/>
    </row>
    <row r="17" customFormat="false" ht="15" hidden="false" customHeight="true" outlineLevel="0" collapsed="false">
      <c r="A17" s="11" t="s">
        <v>39</v>
      </c>
      <c r="B17" s="6" t="n">
        <v>1</v>
      </c>
      <c r="C17" s="6" t="n">
        <v>1</v>
      </c>
      <c r="D17" s="5" t="s">
        <v>31</v>
      </c>
      <c r="E17" s="7"/>
      <c r="F17" s="12" t="s">
        <v>40</v>
      </c>
      <c r="G17" s="6" t="n">
        <v>5</v>
      </c>
      <c r="H17" s="9" t="s">
        <v>15</v>
      </c>
      <c r="I17" s="7"/>
      <c r="J17" s="10"/>
    </row>
    <row r="18" customFormat="false" ht="15" hidden="false" customHeight="true" outlineLevel="0" collapsed="false">
      <c r="A18" s="5" t="s">
        <v>41</v>
      </c>
      <c r="B18" s="6" t="n">
        <v>1</v>
      </c>
      <c r="C18" s="6" t="n">
        <v>2</v>
      </c>
      <c r="D18" s="5" t="s">
        <v>31</v>
      </c>
      <c r="E18" s="7"/>
      <c r="F18" s="8" t="s">
        <v>42</v>
      </c>
      <c r="G18" s="6" t="n">
        <v>8</v>
      </c>
      <c r="H18" s="9" t="s">
        <v>15</v>
      </c>
      <c r="I18" s="7"/>
      <c r="J18" s="10"/>
    </row>
    <row r="19" customFormat="false" ht="15" hidden="false" customHeight="true" outlineLevel="0" collapsed="false">
      <c r="A19" s="5" t="s">
        <v>43</v>
      </c>
      <c r="B19" s="6" t="n">
        <v>1</v>
      </c>
      <c r="C19" s="6" t="n">
        <v>1</v>
      </c>
      <c r="D19" s="5" t="s">
        <v>44</v>
      </c>
      <c r="E19" s="7"/>
      <c r="F19" s="8" t="s">
        <v>45</v>
      </c>
      <c r="G19" s="6" t="n">
        <v>3</v>
      </c>
      <c r="H19" s="9" t="s">
        <v>15</v>
      </c>
      <c r="I19" s="7"/>
      <c r="J19" s="10"/>
    </row>
    <row r="20" customFormat="false" ht="15" hidden="false" customHeight="true" outlineLevel="0" collapsed="false">
      <c r="A20" s="11" t="s">
        <v>46</v>
      </c>
      <c r="B20" s="6" t="n">
        <v>1</v>
      </c>
      <c r="C20" s="6" t="n">
        <v>2</v>
      </c>
      <c r="D20" s="5" t="s">
        <v>44</v>
      </c>
      <c r="E20" s="7"/>
      <c r="F20" s="12" t="s">
        <v>47</v>
      </c>
      <c r="G20" s="6" t="n">
        <v>7</v>
      </c>
      <c r="H20" s="9" t="s">
        <v>15</v>
      </c>
      <c r="I20" s="7"/>
      <c r="J20" s="10"/>
    </row>
    <row r="21" customFormat="false" ht="15" hidden="false" customHeight="true" outlineLevel="0" collapsed="false">
      <c r="A21" s="11" t="s">
        <v>48</v>
      </c>
      <c r="B21" s="6" t="n">
        <v>1</v>
      </c>
      <c r="C21" s="6" t="n">
        <v>2</v>
      </c>
      <c r="D21" s="5" t="s">
        <v>44</v>
      </c>
      <c r="E21" s="7"/>
      <c r="F21" s="12" t="s">
        <v>49</v>
      </c>
      <c r="G21" s="6" t="n">
        <v>8</v>
      </c>
      <c r="H21" s="9" t="s">
        <v>15</v>
      </c>
      <c r="I21" s="7"/>
      <c r="J21" s="10"/>
    </row>
    <row r="22" customFormat="false" ht="15" hidden="false" customHeight="true" outlineLevel="0" collapsed="false">
      <c r="A22" s="11" t="s">
        <v>50</v>
      </c>
      <c r="B22" s="6" t="n">
        <v>1</v>
      </c>
      <c r="C22" s="6" t="n">
        <v>2</v>
      </c>
      <c r="D22" s="5" t="s">
        <v>44</v>
      </c>
      <c r="E22" s="7"/>
      <c r="F22" s="12" t="s">
        <v>51</v>
      </c>
      <c r="G22" s="6" t="n">
        <v>9</v>
      </c>
      <c r="H22" s="9" t="s">
        <v>15</v>
      </c>
      <c r="I22" s="7"/>
      <c r="J22" s="10"/>
    </row>
    <row r="23" customFormat="false" ht="15" hidden="false" customHeight="true" outlineLevel="0" collapsed="false">
      <c r="A23" s="5" t="s">
        <v>52</v>
      </c>
      <c r="B23" s="6" t="n">
        <v>1</v>
      </c>
      <c r="C23" s="6" t="n">
        <v>2</v>
      </c>
      <c r="D23" s="5" t="s">
        <v>44</v>
      </c>
      <c r="E23" s="7"/>
      <c r="F23" s="8" t="s">
        <v>53</v>
      </c>
      <c r="G23" s="6" t="n">
        <v>9</v>
      </c>
      <c r="H23" s="9" t="s">
        <v>15</v>
      </c>
      <c r="I23" s="7"/>
      <c r="J23" s="10"/>
    </row>
    <row r="24" customFormat="false" ht="15" hidden="false" customHeight="true" outlineLevel="0" collapsed="false">
      <c r="A24" s="5" t="s">
        <v>54</v>
      </c>
      <c r="B24" s="6" t="n">
        <v>1</v>
      </c>
      <c r="C24" s="6" t="n">
        <v>2</v>
      </c>
      <c r="D24" s="5" t="s">
        <v>44</v>
      </c>
      <c r="E24" s="7"/>
      <c r="F24" s="8" t="s">
        <v>55</v>
      </c>
      <c r="G24" s="6" t="n">
        <v>9</v>
      </c>
      <c r="H24" s="9" t="s">
        <v>15</v>
      </c>
      <c r="I24" s="7"/>
      <c r="J24" s="10"/>
    </row>
    <row r="25" customFormat="false" ht="15" hidden="false" customHeight="true" outlineLevel="0" collapsed="false">
      <c r="A25" s="5" t="s">
        <v>56</v>
      </c>
      <c r="B25" s="6" t="n">
        <v>1</v>
      </c>
      <c r="C25" s="6" t="n">
        <v>1</v>
      </c>
      <c r="D25" s="5" t="s">
        <v>57</v>
      </c>
      <c r="E25" s="7"/>
      <c r="F25" s="8" t="s">
        <v>58</v>
      </c>
      <c r="G25" s="6" t="n">
        <v>2</v>
      </c>
      <c r="H25" s="9" t="s">
        <v>15</v>
      </c>
      <c r="I25" s="7"/>
      <c r="J25" s="10"/>
    </row>
    <row r="26" customFormat="false" ht="15" hidden="false" customHeight="true" outlineLevel="0" collapsed="false">
      <c r="A26" s="5" t="s">
        <v>59</v>
      </c>
      <c r="B26" s="6" t="n">
        <v>1</v>
      </c>
      <c r="C26" s="6" t="n">
        <v>1</v>
      </c>
      <c r="D26" s="5" t="s">
        <v>57</v>
      </c>
      <c r="E26" s="7"/>
      <c r="F26" s="8" t="s">
        <v>60</v>
      </c>
      <c r="G26" s="6" t="n">
        <v>3</v>
      </c>
      <c r="H26" s="9" t="s">
        <v>15</v>
      </c>
      <c r="I26" s="7"/>
      <c r="J26" s="10"/>
    </row>
    <row r="27" customFormat="false" ht="15" hidden="false" customHeight="true" outlineLevel="0" collapsed="false">
      <c r="A27" s="11" t="s">
        <v>61</v>
      </c>
      <c r="B27" s="6" t="n">
        <v>1</v>
      </c>
      <c r="C27" s="6" t="n">
        <v>1</v>
      </c>
      <c r="D27" s="5" t="s">
        <v>57</v>
      </c>
      <c r="E27" s="7"/>
      <c r="F27" s="12" t="s">
        <v>62</v>
      </c>
      <c r="G27" s="6" t="n">
        <v>4</v>
      </c>
      <c r="H27" s="9" t="s">
        <v>15</v>
      </c>
      <c r="I27" s="7"/>
      <c r="J27" s="10"/>
    </row>
    <row r="28" customFormat="false" ht="15" hidden="false" customHeight="true" outlineLevel="0" collapsed="false">
      <c r="A28" s="11" t="s">
        <v>63</v>
      </c>
      <c r="B28" s="6" t="n">
        <v>1</v>
      </c>
      <c r="C28" s="6" t="n">
        <v>2</v>
      </c>
      <c r="D28" s="5" t="s">
        <v>57</v>
      </c>
      <c r="E28" s="7"/>
      <c r="F28" s="12" t="s">
        <v>64</v>
      </c>
      <c r="G28" s="6" t="n">
        <v>6</v>
      </c>
      <c r="H28" s="9" t="s">
        <v>15</v>
      </c>
      <c r="I28" s="7"/>
      <c r="J28" s="10"/>
    </row>
    <row r="29" customFormat="false" ht="15" hidden="false" customHeight="true" outlineLevel="0" collapsed="false">
      <c r="A29" s="5" t="s">
        <v>65</v>
      </c>
      <c r="B29" s="6" t="n">
        <v>1</v>
      </c>
      <c r="C29" s="6" t="n">
        <v>2</v>
      </c>
      <c r="D29" s="5" t="s">
        <v>57</v>
      </c>
      <c r="E29" s="7"/>
      <c r="F29" s="8" t="s">
        <v>66</v>
      </c>
      <c r="G29" s="6" t="n">
        <v>9</v>
      </c>
      <c r="H29" s="9" t="s">
        <v>15</v>
      </c>
      <c r="I29" s="7"/>
      <c r="J29" s="10"/>
    </row>
    <row r="30" customFormat="false" ht="15" hidden="false" customHeight="true" outlineLevel="0" collapsed="false">
      <c r="A30" s="5" t="s">
        <v>67</v>
      </c>
      <c r="B30" s="6" t="n">
        <v>1</v>
      </c>
      <c r="C30" s="6" t="n">
        <v>1</v>
      </c>
      <c r="D30" s="5" t="s">
        <v>68</v>
      </c>
      <c r="E30" s="7"/>
      <c r="F30" s="8" t="s">
        <v>69</v>
      </c>
      <c r="G30" s="6" t="n">
        <v>1</v>
      </c>
      <c r="H30" s="9" t="s">
        <v>15</v>
      </c>
      <c r="I30" s="7"/>
      <c r="J30" s="10"/>
    </row>
    <row r="31" customFormat="false" ht="15" hidden="false" customHeight="true" outlineLevel="0" collapsed="false">
      <c r="A31" s="11" t="s">
        <v>70</v>
      </c>
      <c r="B31" s="6" t="n">
        <v>1</v>
      </c>
      <c r="C31" s="6" t="n">
        <v>1</v>
      </c>
      <c r="D31" s="5" t="s">
        <v>68</v>
      </c>
      <c r="E31" s="7"/>
      <c r="F31" s="12" t="s">
        <v>71</v>
      </c>
      <c r="G31" s="6" t="n">
        <v>1</v>
      </c>
      <c r="H31" s="9" t="s">
        <v>15</v>
      </c>
      <c r="I31" s="7"/>
      <c r="J31" s="10"/>
    </row>
    <row r="32" customFormat="false" ht="15" hidden="false" customHeight="true" outlineLevel="0" collapsed="false">
      <c r="A32" s="5" t="s">
        <v>72</v>
      </c>
      <c r="B32" s="6" t="n">
        <v>1</v>
      </c>
      <c r="C32" s="6" t="n">
        <v>1</v>
      </c>
      <c r="D32" s="5" t="s">
        <v>68</v>
      </c>
      <c r="E32" s="7"/>
      <c r="F32" s="8" t="s">
        <v>73</v>
      </c>
      <c r="G32" s="6" t="n">
        <v>2</v>
      </c>
      <c r="H32" s="9" t="s">
        <v>15</v>
      </c>
      <c r="I32" s="7"/>
      <c r="J32" s="10"/>
    </row>
    <row r="33" customFormat="false" ht="15" hidden="false" customHeight="true" outlineLevel="0" collapsed="false">
      <c r="A33" s="5" t="s">
        <v>74</v>
      </c>
      <c r="B33" s="6" t="n">
        <v>1</v>
      </c>
      <c r="C33" s="6" t="n">
        <v>1</v>
      </c>
      <c r="D33" s="5" t="s">
        <v>68</v>
      </c>
      <c r="E33" s="7"/>
      <c r="F33" s="8" t="s">
        <v>75</v>
      </c>
      <c r="G33" s="6" t="n">
        <v>5</v>
      </c>
      <c r="H33" s="9" t="s">
        <v>15</v>
      </c>
      <c r="I33" s="7"/>
      <c r="J33" s="10"/>
    </row>
    <row r="34" customFormat="false" ht="15" hidden="false" customHeight="true" outlineLevel="0" collapsed="false">
      <c r="A34" s="5" t="s">
        <v>76</v>
      </c>
      <c r="B34" s="6" t="n">
        <v>1</v>
      </c>
      <c r="C34" s="6" t="n">
        <v>2</v>
      </c>
      <c r="D34" s="5" t="s">
        <v>68</v>
      </c>
      <c r="E34" s="7"/>
      <c r="F34" s="8" t="s">
        <v>77</v>
      </c>
      <c r="G34" s="6" t="n">
        <v>10</v>
      </c>
      <c r="H34" s="9" t="s">
        <v>15</v>
      </c>
      <c r="I34" s="7"/>
      <c r="J34" s="10"/>
    </row>
    <row r="35" customFormat="false" ht="15" hidden="false" customHeight="true" outlineLevel="0" collapsed="false">
      <c r="A35" s="5" t="s">
        <v>78</v>
      </c>
      <c r="B35" s="6" t="n">
        <v>2</v>
      </c>
      <c r="C35" s="6" t="n">
        <v>3</v>
      </c>
      <c r="D35" s="5" t="s">
        <v>13</v>
      </c>
      <c r="E35" s="7"/>
      <c r="F35" s="8" t="s">
        <v>79</v>
      </c>
      <c r="G35" s="6" t="n">
        <v>2</v>
      </c>
      <c r="H35" s="9" t="s">
        <v>15</v>
      </c>
      <c r="I35" s="7"/>
      <c r="J35" s="10"/>
    </row>
    <row r="36" customFormat="false" ht="15" hidden="false" customHeight="true" outlineLevel="0" collapsed="false">
      <c r="A36" s="5" t="s">
        <v>80</v>
      </c>
      <c r="B36" s="6" t="n">
        <v>2</v>
      </c>
      <c r="C36" s="6" t="n">
        <v>3</v>
      </c>
      <c r="D36" s="5" t="s">
        <v>13</v>
      </c>
      <c r="E36" s="7"/>
      <c r="F36" s="8" t="s">
        <v>81</v>
      </c>
      <c r="G36" s="6" t="n">
        <v>3</v>
      </c>
      <c r="H36" s="9" t="s">
        <v>15</v>
      </c>
      <c r="I36" s="7"/>
      <c r="J36" s="10"/>
    </row>
    <row r="37" customFormat="false" ht="15" hidden="false" customHeight="true" outlineLevel="0" collapsed="false">
      <c r="A37" s="5" t="s">
        <v>82</v>
      </c>
      <c r="B37" s="6" t="n">
        <v>2</v>
      </c>
      <c r="C37" s="6" t="n">
        <v>3</v>
      </c>
      <c r="D37" s="5" t="s">
        <v>13</v>
      </c>
      <c r="E37" s="7"/>
      <c r="F37" s="8" t="s">
        <v>83</v>
      </c>
      <c r="G37" s="6" t="n">
        <v>4</v>
      </c>
      <c r="H37" s="9" t="s">
        <v>15</v>
      </c>
      <c r="I37" s="7"/>
      <c r="J37" s="10"/>
    </row>
    <row r="38" customFormat="false" ht="15" hidden="false" customHeight="true" outlineLevel="0" collapsed="false">
      <c r="A38" s="5" t="s">
        <v>84</v>
      </c>
      <c r="B38" s="6" t="n">
        <v>2</v>
      </c>
      <c r="C38" s="6" t="n">
        <v>3</v>
      </c>
      <c r="D38" s="5" t="s">
        <v>13</v>
      </c>
      <c r="E38" s="7"/>
      <c r="F38" s="8" t="s">
        <v>85</v>
      </c>
      <c r="G38" s="6" t="n">
        <v>5</v>
      </c>
      <c r="H38" s="9" t="s">
        <v>15</v>
      </c>
      <c r="I38" s="7"/>
      <c r="J38" s="10"/>
    </row>
    <row r="39" customFormat="false" ht="15" hidden="false" customHeight="true" outlineLevel="0" collapsed="false">
      <c r="A39" s="5" t="s">
        <v>86</v>
      </c>
      <c r="B39" s="6" t="n">
        <v>2</v>
      </c>
      <c r="C39" s="6" t="n">
        <v>4</v>
      </c>
      <c r="D39" s="5" t="s">
        <v>13</v>
      </c>
      <c r="E39" s="7"/>
      <c r="F39" s="8" t="s">
        <v>87</v>
      </c>
      <c r="G39" s="6" t="n">
        <v>6</v>
      </c>
      <c r="H39" s="9" t="s">
        <v>15</v>
      </c>
      <c r="I39" s="7"/>
      <c r="J39" s="10"/>
    </row>
    <row r="40" customFormat="false" ht="15" hidden="false" customHeight="true" outlineLevel="0" collapsed="false">
      <c r="A40" s="5" t="s">
        <v>88</v>
      </c>
      <c r="B40" s="6" t="n">
        <v>2</v>
      </c>
      <c r="C40" s="6" t="n">
        <v>4</v>
      </c>
      <c r="D40" s="5" t="s">
        <v>13</v>
      </c>
      <c r="E40" s="7"/>
      <c r="F40" s="8" t="s">
        <v>89</v>
      </c>
      <c r="G40" s="6" t="n">
        <v>7</v>
      </c>
      <c r="H40" s="9" t="s">
        <v>15</v>
      </c>
      <c r="I40" s="7"/>
      <c r="J40" s="10"/>
    </row>
    <row r="41" customFormat="false" ht="15" hidden="false" customHeight="true" outlineLevel="0" collapsed="false">
      <c r="A41" s="11" t="s">
        <v>90</v>
      </c>
      <c r="B41" s="6" t="n">
        <v>2</v>
      </c>
      <c r="C41" s="6" t="n">
        <v>4</v>
      </c>
      <c r="D41" s="5" t="s">
        <v>13</v>
      </c>
      <c r="E41" s="7"/>
      <c r="F41" s="12" t="s">
        <v>91</v>
      </c>
      <c r="G41" s="6" t="n">
        <v>8</v>
      </c>
      <c r="H41" s="9" t="s">
        <v>15</v>
      </c>
      <c r="I41" s="7"/>
      <c r="J41" s="10"/>
    </row>
    <row r="42" customFormat="false" ht="23.25" hidden="false" customHeight="true" outlineLevel="0" collapsed="false">
      <c r="A42" s="11" t="s">
        <v>92</v>
      </c>
      <c r="B42" s="6" t="n">
        <v>2</v>
      </c>
      <c r="C42" s="6" t="n">
        <v>4</v>
      </c>
      <c r="D42" s="5" t="s">
        <v>13</v>
      </c>
      <c r="E42" s="7"/>
      <c r="F42" s="12" t="s">
        <v>93</v>
      </c>
      <c r="G42" s="6" t="n">
        <v>9</v>
      </c>
      <c r="H42" s="9" t="s">
        <v>15</v>
      </c>
      <c r="I42" s="7"/>
      <c r="J42" s="10"/>
    </row>
    <row r="43" customFormat="false" ht="15" hidden="false" customHeight="true" outlineLevel="0" collapsed="false">
      <c r="A43" s="5" t="s">
        <v>94</v>
      </c>
      <c r="B43" s="6" t="n">
        <v>2</v>
      </c>
      <c r="C43" s="6" t="n">
        <v>3</v>
      </c>
      <c r="D43" s="5" t="s">
        <v>31</v>
      </c>
      <c r="E43" s="7"/>
      <c r="F43" s="8" t="s">
        <v>95</v>
      </c>
      <c r="G43" s="6" t="n">
        <v>2</v>
      </c>
      <c r="H43" s="9" t="s">
        <v>15</v>
      </c>
      <c r="I43" s="7"/>
      <c r="J43" s="10"/>
    </row>
    <row r="44" customFormat="false" ht="15" hidden="false" customHeight="true" outlineLevel="0" collapsed="false">
      <c r="A44" s="5" t="s">
        <v>96</v>
      </c>
      <c r="B44" s="6" t="n">
        <v>2</v>
      </c>
      <c r="C44" s="6" t="n">
        <v>3</v>
      </c>
      <c r="D44" s="5" t="s">
        <v>31</v>
      </c>
      <c r="E44" s="7"/>
      <c r="F44" s="8" t="s">
        <v>97</v>
      </c>
      <c r="G44" s="6" t="n">
        <v>4</v>
      </c>
      <c r="H44" s="9" t="s">
        <v>15</v>
      </c>
      <c r="I44" s="7"/>
      <c r="J44" s="10"/>
    </row>
    <row r="45" customFormat="false" ht="15" hidden="false" customHeight="true" outlineLevel="0" collapsed="false">
      <c r="A45" s="5" t="s">
        <v>98</v>
      </c>
      <c r="B45" s="6" t="n">
        <v>2</v>
      </c>
      <c r="C45" s="6" t="n">
        <v>3</v>
      </c>
      <c r="D45" s="5" t="s">
        <v>31</v>
      </c>
      <c r="E45" s="7"/>
      <c r="F45" s="8" t="s">
        <v>99</v>
      </c>
      <c r="G45" s="6" t="n">
        <v>5</v>
      </c>
      <c r="H45" s="9" t="s">
        <v>15</v>
      </c>
      <c r="I45" s="7"/>
      <c r="J45" s="10"/>
    </row>
    <row r="46" customFormat="false" ht="15" hidden="false" customHeight="true" outlineLevel="0" collapsed="false">
      <c r="A46" s="5" t="s">
        <v>100</v>
      </c>
      <c r="B46" s="6" t="n">
        <v>2</v>
      </c>
      <c r="C46" s="6" t="n">
        <v>4</v>
      </c>
      <c r="D46" s="5" t="s">
        <v>31</v>
      </c>
      <c r="E46" s="7"/>
      <c r="F46" s="8" t="s">
        <v>101</v>
      </c>
      <c r="G46" s="6" t="n">
        <v>6</v>
      </c>
      <c r="H46" s="9" t="s">
        <v>15</v>
      </c>
      <c r="I46" s="7"/>
      <c r="J46" s="10"/>
    </row>
    <row r="47" customFormat="false" ht="15" hidden="false" customHeight="true" outlineLevel="0" collapsed="false">
      <c r="A47" s="5" t="s">
        <v>102</v>
      </c>
      <c r="B47" s="6" t="n">
        <v>2</v>
      </c>
      <c r="C47" s="6" t="n">
        <v>4</v>
      </c>
      <c r="D47" s="5" t="s">
        <v>31</v>
      </c>
      <c r="E47" s="7"/>
      <c r="F47" s="8" t="s">
        <v>103</v>
      </c>
      <c r="G47" s="6" t="n">
        <v>7</v>
      </c>
      <c r="H47" s="9" t="s">
        <v>15</v>
      </c>
      <c r="I47" s="7"/>
      <c r="J47" s="10"/>
    </row>
    <row r="48" customFormat="false" ht="15" hidden="false" customHeight="true" outlineLevel="0" collapsed="false">
      <c r="A48" s="5" t="s">
        <v>104</v>
      </c>
      <c r="B48" s="6" t="n">
        <v>2</v>
      </c>
      <c r="C48" s="6" t="n">
        <v>4</v>
      </c>
      <c r="D48" s="5" t="s">
        <v>31</v>
      </c>
      <c r="E48" s="7"/>
      <c r="F48" s="8" t="s">
        <v>105</v>
      </c>
      <c r="G48" s="6" t="n">
        <v>9</v>
      </c>
      <c r="H48" s="9" t="s">
        <v>15</v>
      </c>
      <c r="I48" s="7"/>
      <c r="J48" s="10"/>
    </row>
    <row r="49" customFormat="false" ht="15" hidden="false" customHeight="true" outlineLevel="0" collapsed="false">
      <c r="A49" s="5" t="s">
        <v>106</v>
      </c>
      <c r="B49" s="6" t="n">
        <v>2</v>
      </c>
      <c r="C49" s="6" t="n">
        <v>3</v>
      </c>
      <c r="D49" s="5" t="s">
        <v>44</v>
      </c>
      <c r="E49" s="7"/>
      <c r="F49" s="8" t="s">
        <v>107</v>
      </c>
      <c r="G49" s="6" t="n">
        <v>3</v>
      </c>
      <c r="H49" s="9" t="s">
        <v>15</v>
      </c>
      <c r="I49" s="7"/>
      <c r="J49" s="10"/>
    </row>
    <row r="50" customFormat="false" ht="15" hidden="false" customHeight="true" outlineLevel="0" collapsed="false">
      <c r="A50" s="5" t="s">
        <v>108</v>
      </c>
      <c r="B50" s="6" t="n">
        <v>2</v>
      </c>
      <c r="C50" s="6" t="n">
        <v>3</v>
      </c>
      <c r="D50" s="5" t="s">
        <v>44</v>
      </c>
      <c r="E50" s="7"/>
      <c r="F50" s="8" t="s">
        <v>109</v>
      </c>
      <c r="G50" s="6" t="n">
        <v>5</v>
      </c>
      <c r="H50" s="9" t="s">
        <v>15</v>
      </c>
      <c r="I50" s="7"/>
      <c r="J50" s="10"/>
    </row>
    <row r="51" customFormat="false" ht="15" hidden="false" customHeight="true" outlineLevel="0" collapsed="false">
      <c r="A51" s="5" t="s">
        <v>110</v>
      </c>
      <c r="B51" s="6" t="n">
        <v>2</v>
      </c>
      <c r="C51" s="6" t="n">
        <v>4</v>
      </c>
      <c r="D51" s="5" t="s">
        <v>44</v>
      </c>
      <c r="E51" s="7"/>
      <c r="F51" s="8" t="s">
        <v>111</v>
      </c>
      <c r="G51" s="6" t="n">
        <v>7</v>
      </c>
      <c r="H51" s="9" t="s">
        <v>15</v>
      </c>
      <c r="I51" s="7"/>
      <c r="J51" s="10"/>
    </row>
    <row r="52" customFormat="false" ht="15" hidden="false" customHeight="true" outlineLevel="0" collapsed="false">
      <c r="A52" s="11" t="s">
        <v>112</v>
      </c>
      <c r="B52" s="6" t="n">
        <v>2</v>
      </c>
      <c r="C52" s="6" t="n">
        <v>4</v>
      </c>
      <c r="D52" s="5" t="s">
        <v>44</v>
      </c>
      <c r="E52" s="7"/>
      <c r="F52" s="12" t="s">
        <v>113</v>
      </c>
      <c r="G52" s="6" t="n">
        <v>8</v>
      </c>
      <c r="H52" s="9" t="s">
        <v>15</v>
      </c>
      <c r="I52" s="7"/>
      <c r="J52" s="10"/>
    </row>
    <row r="53" customFormat="false" ht="15" hidden="false" customHeight="true" outlineLevel="0" collapsed="false">
      <c r="A53" s="5" t="s">
        <v>114</v>
      </c>
      <c r="B53" s="6" t="n">
        <v>2</v>
      </c>
      <c r="C53" s="6" t="n">
        <v>4</v>
      </c>
      <c r="D53" s="5" t="s">
        <v>44</v>
      </c>
      <c r="E53" s="7"/>
      <c r="F53" s="8" t="s">
        <v>115</v>
      </c>
      <c r="G53" s="6" t="n">
        <v>9</v>
      </c>
      <c r="H53" s="9" t="s">
        <v>15</v>
      </c>
      <c r="I53" s="7"/>
      <c r="J53" s="10"/>
    </row>
    <row r="54" customFormat="false" ht="15" hidden="false" customHeight="true" outlineLevel="0" collapsed="false">
      <c r="A54" s="5" t="s">
        <v>116</v>
      </c>
      <c r="B54" s="6" t="n">
        <v>2</v>
      </c>
      <c r="C54" s="6" t="n">
        <v>4</v>
      </c>
      <c r="D54" s="5" t="s">
        <v>44</v>
      </c>
      <c r="E54" s="7"/>
      <c r="F54" s="8" t="s">
        <v>55</v>
      </c>
      <c r="G54" s="6" t="n">
        <v>9</v>
      </c>
      <c r="H54" s="9" t="s">
        <v>15</v>
      </c>
      <c r="I54" s="7"/>
      <c r="J54" s="10"/>
    </row>
    <row r="55" customFormat="false" ht="15" hidden="false" customHeight="true" outlineLevel="0" collapsed="false">
      <c r="A55" s="5" t="s">
        <v>117</v>
      </c>
      <c r="B55" s="6" t="n">
        <v>2</v>
      </c>
      <c r="C55" s="6" t="n">
        <v>3</v>
      </c>
      <c r="D55" s="5" t="s">
        <v>57</v>
      </c>
      <c r="E55" s="7"/>
      <c r="F55" s="8" t="s">
        <v>118</v>
      </c>
      <c r="G55" s="6" t="n">
        <v>2</v>
      </c>
      <c r="H55" s="9" t="s">
        <v>15</v>
      </c>
      <c r="I55" s="7"/>
      <c r="J55" s="10"/>
    </row>
    <row r="56" customFormat="false" ht="15" hidden="false" customHeight="true" outlineLevel="0" collapsed="false">
      <c r="A56" s="5" t="s">
        <v>119</v>
      </c>
      <c r="B56" s="6" t="n">
        <v>2</v>
      </c>
      <c r="C56" s="6" t="n">
        <v>3</v>
      </c>
      <c r="D56" s="5" t="s">
        <v>57</v>
      </c>
      <c r="E56" s="7"/>
      <c r="F56" s="8" t="s">
        <v>120</v>
      </c>
      <c r="G56" s="6" t="n">
        <v>3</v>
      </c>
      <c r="H56" s="9" t="s">
        <v>15</v>
      </c>
      <c r="I56" s="7"/>
      <c r="J56" s="10"/>
    </row>
    <row r="57" customFormat="false" ht="15" hidden="false" customHeight="true" outlineLevel="0" collapsed="false">
      <c r="A57" s="5" t="s">
        <v>121</v>
      </c>
      <c r="B57" s="6" t="n">
        <v>2</v>
      </c>
      <c r="C57" s="6" t="n">
        <v>3</v>
      </c>
      <c r="D57" s="5" t="s">
        <v>57</v>
      </c>
      <c r="E57" s="7"/>
      <c r="F57" s="8" t="s">
        <v>122</v>
      </c>
      <c r="G57" s="6" t="n">
        <v>5</v>
      </c>
      <c r="H57" s="9" t="s">
        <v>15</v>
      </c>
      <c r="I57" s="7"/>
      <c r="J57" s="10"/>
    </row>
    <row r="58" customFormat="false" ht="15" hidden="false" customHeight="true" outlineLevel="0" collapsed="false">
      <c r="A58" s="5" t="s">
        <v>123</v>
      </c>
      <c r="B58" s="6" t="n">
        <v>2</v>
      </c>
      <c r="C58" s="6" t="n">
        <v>4</v>
      </c>
      <c r="D58" s="5" t="s">
        <v>57</v>
      </c>
      <c r="E58" s="7"/>
      <c r="F58" s="8" t="s">
        <v>124</v>
      </c>
      <c r="G58" s="6" t="n">
        <v>7</v>
      </c>
      <c r="H58" s="9" t="s">
        <v>15</v>
      </c>
      <c r="I58" s="7"/>
      <c r="J58" s="10"/>
    </row>
    <row r="59" customFormat="false" ht="15" hidden="false" customHeight="true" outlineLevel="0" collapsed="false">
      <c r="A59" s="5" t="s">
        <v>125</v>
      </c>
      <c r="B59" s="6" t="n">
        <v>2</v>
      </c>
      <c r="C59" s="6" t="n">
        <v>4</v>
      </c>
      <c r="D59" s="5" t="s">
        <v>57</v>
      </c>
      <c r="E59" s="7"/>
      <c r="F59" s="8" t="s">
        <v>126</v>
      </c>
      <c r="G59" s="6" t="n">
        <v>9</v>
      </c>
      <c r="H59" s="9" t="s">
        <v>15</v>
      </c>
      <c r="I59" s="7"/>
      <c r="J59" s="10"/>
    </row>
    <row r="60" customFormat="false" ht="15" hidden="false" customHeight="true" outlineLevel="0" collapsed="false">
      <c r="A60" s="5" t="s">
        <v>127</v>
      </c>
      <c r="B60" s="6" t="n">
        <v>2</v>
      </c>
      <c r="C60" s="6" t="n">
        <v>3</v>
      </c>
      <c r="D60" s="5" t="s">
        <v>68</v>
      </c>
      <c r="E60" s="7"/>
      <c r="F60" s="8" t="s">
        <v>128</v>
      </c>
      <c r="G60" s="6" t="n">
        <v>1</v>
      </c>
      <c r="H60" s="9" t="s">
        <v>15</v>
      </c>
      <c r="I60" s="7"/>
      <c r="J60" s="10"/>
    </row>
    <row r="61" customFormat="false" ht="15" hidden="false" customHeight="true" outlineLevel="0" collapsed="false">
      <c r="A61" s="5" t="s">
        <v>129</v>
      </c>
      <c r="B61" s="6" t="n">
        <v>2</v>
      </c>
      <c r="C61" s="6" t="n">
        <v>3</v>
      </c>
      <c r="D61" s="5" t="s">
        <v>68</v>
      </c>
      <c r="E61" s="7"/>
      <c r="F61" s="8" t="s">
        <v>130</v>
      </c>
      <c r="G61" s="6" t="n">
        <v>3</v>
      </c>
      <c r="H61" s="9" t="s">
        <v>15</v>
      </c>
      <c r="I61" s="7"/>
      <c r="J61" s="10"/>
    </row>
    <row r="62" customFormat="false" ht="15" hidden="false" customHeight="true" outlineLevel="0" collapsed="false">
      <c r="A62" s="5" t="s">
        <v>131</v>
      </c>
      <c r="B62" s="6" t="n">
        <v>2</v>
      </c>
      <c r="C62" s="6" t="n">
        <v>3</v>
      </c>
      <c r="D62" s="5" t="s">
        <v>68</v>
      </c>
      <c r="E62" s="7"/>
      <c r="F62" s="8" t="s">
        <v>132</v>
      </c>
      <c r="G62" s="6" t="n">
        <v>5</v>
      </c>
      <c r="H62" s="9" t="s">
        <v>15</v>
      </c>
      <c r="I62" s="7"/>
      <c r="J62" s="10"/>
    </row>
    <row r="63" customFormat="false" ht="15" hidden="false" customHeight="true" outlineLevel="0" collapsed="false">
      <c r="A63" s="5" t="s">
        <v>133</v>
      </c>
      <c r="B63" s="6" t="n">
        <v>2</v>
      </c>
      <c r="C63" s="6" t="n">
        <v>4</v>
      </c>
      <c r="D63" s="5" t="s">
        <v>68</v>
      </c>
      <c r="E63" s="7"/>
      <c r="F63" s="8" t="s">
        <v>134</v>
      </c>
      <c r="G63" s="6" t="n">
        <v>8</v>
      </c>
      <c r="H63" s="9" t="s">
        <v>15</v>
      </c>
      <c r="I63" s="7"/>
      <c r="J63" s="10"/>
    </row>
    <row r="64" customFormat="false" ht="15" hidden="false" customHeight="true" outlineLevel="0" collapsed="false">
      <c r="A64" s="5" t="s">
        <v>135</v>
      </c>
      <c r="B64" s="6" t="n">
        <v>2</v>
      </c>
      <c r="C64" s="6" t="n">
        <v>4</v>
      </c>
      <c r="D64" s="5" t="s">
        <v>68</v>
      </c>
      <c r="E64" s="7"/>
      <c r="F64" s="8" t="s">
        <v>136</v>
      </c>
      <c r="G64" s="6" t="n">
        <v>10</v>
      </c>
      <c r="H64" s="9" t="s">
        <v>15</v>
      </c>
      <c r="I64" s="7"/>
      <c r="J64" s="10"/>
    </row>
    <row r="65" customFormat="false" ht="15" hidden="false" customHeight="true" outlineLevel="0" collapsed="false">
      <c r="A65" s="5" t="s">
        <v>137</v>
      </c>
      <c r="B65" s="6" t="n">
        <v>3</v>
      </c>
      <c r="C65" s="6" t="n">
        <v>5</v>
      </c>
      <c r="D65" s="5" t="s">
        <v>13</v>
      </c>
      <c r="E65" s="7"/>
      <c r="F65" s="8" t="s">
        <v>138</v>
      </c>
      <c r="G65" s="6" t="n">
        <v>2</v>
      </c>
      <c r="H65" s="9" t="s">
        <v>15</v>
      </c>
      <c r="I65" s="7"/>
      <c r="J65" s="10"/>
    </row>
    <row r="66" customFormat="false" ht="15" hidden="false" customHeight="true" outlineLevel="0" collapsed="false">
      <c r="A66" s="5" t="s">
        <v>139</v>
      </c>
      <c r="B66" s="6" t="n">
        <v>3</v>
      </c>
      <c r="C66" s="6" t="n">
        <v>5</v>
      </c>
      <c r="D66" s="5" t="s">
        <v>13</v>
      </c>
      <c r="E66" s="7"/>
      <c r="F66" s="8" t="s">
        <v>140</v>
      </c>
      <c r="G66" s="6" t="n">
        <v>3</v>
      </c>
      <c r="H66" s="9" t="s">
        <v>15</v>
      </c>
      <c r="I66" s="7"/>
      <c r="J66" s="10"/>
    </row>
    <row r="67" customFormat="false" ht="15" hidden="false" customHeight="true" outlineLevel="0" collapsed="false">
      <c r="A67" s="5" t="s">
        <v>141</v>
      </c>
      <c r="B67" s="6" t="n">
        <v>3</v>
      </c>
      <c r="C67" s="6" t="n">
        <v>5</v>
      </c>
      <c r="D67" s="5" t="s">
        <v>13</v>
      </c>
      <c r="E67" s="7"/>
      <c r="F67" s="8" t="s">
        <v>142</v>
      </c>
      <c r="G67" s="6" t="n">
        <v>4</v>
      </c>
      <c r="H67" s="9" t="s">
        <v>15</v>
      </c>
      <c r="I67" s="7"/>
      <c r="J67" s="10"/>
    </row>
    <row r="68" customFormat="false" ht="15" hidden="false" customHeight="true" outlineLevel="0" collapsed="false">
      <c r="A68" s="5" t="s">
        <v>143</v>
      </c>
      <c r="B68" s="6" t="n">
        <v>3</v>
      </c>
      <c r="C68" s="6" t="n">
        <v>5</v>
      </c>
      <c r="D68" s="5" t="s">
        <v>13</v>
      </c>
      <c r="E68" s="7"/>
      <c r="F68" s="8" t="s">
        <v>144</v>
      </c>
      <c r="G68" s="6" t="n">
        <v>5</v>
      </c>
      <c r="H68" s="9" t="s">
        <v>15</v>
      </c>
      <c r="I68" s="7"/>
      <c r="J68" s="10"/>
    </row>
    <row r="69" customFormat="false" ht="15" hidden="false" customHeight="true" outlineLevel="0" collapsed="false">
      <c r="A69" s="5" t="s">
        <v>145</v>
      </c>
      <c r="B69" s="6" t="n">
        <v>3</v>
      </c>
      <c r="C69" s="6" t="n">
        <v>6</v>
      </c>
      <c r="D69" s="5" t="s">
        <v>13</v>
      </c>
      <c r="E69" s="7"/>
      <c r="F69" s="8" t="s">
        <v>146</v>
      </c>
      <c r="G69" s="6" t="n">
        <v>6</v>
      </c>
      <c r="H69" s="9" t="s">
        <v>15</v>
      </c>
      <c r="I69" s="7"/>
      <c r="J69" s="10"/>
    </row>
    <row r="70" customFormat="false" ht="15" hidden="false" customHeight="true" outlineLevel="0" collapsed="false">
      <c r="A70" s="11" t="s">
        <v>147</v>
      </c>
      <c r="B70" s="6" t="n">
        <v>3</v>
      </c>
      <c r="C70" s="6" t="n">
        <v>6</v>
      </c>
      <c r="D70" s="5" t="s">
        <v>13</v>
      </c>
      <c r="E70" s="7"/>
      <c r="F70" s="12" t="s">
        <v>148</v>
      </c>
      <c r="G70" s="6" t="n">
        <v>7</v>
      </c>
      <c r="H70" s="9" t="s">
        <v>15</v>
      </c>
      <c r="I70" s="7"/>
      <c r="J70" s="10"/>
    </row>
    <row r="71" customFormat="false" ht="15" hidden="false" customHeight="true" outlineLevel="0" collapsed="false">
      <c r="A71" s="5" t="s">
        <v>149</v>
      </c>
      <c r="B71" s="6" t="n">
        <v>3</v>
      </c>
      <c r="C71" s="6" t="n">
        <v>6</v>
      </c>
      <c r="D71" s="5" t="s">
        <v>13</v>
      </c>
      <c r="E71" s="7"/>
      <c r="F71" s="8" t="s">
        <v>150</v>
      </c>
      <c r="G71" s="6" t="n">
        <v>8</v>
      </c>
      <c r="H71" s="9" t="s">
        <v>15</v>
      </c>
      <c r="I71" s="7"/>
      <c r="J71" s="10"/>
    </row>
    <row r="72" customFormat="false" ht="15" hidden="false" customHeight="true" outlineLevel="0" collapsed="false">
      <c r="A72" s="11" t="s">
        <v>151</v>
      </c>
      <c r="B72" s="6" t="n">
        <v>3</v>
      </c>
      <c r="C72" s="6" t="n">
        <v>6</v>
      </c>
      <c r="D72" s="5" t="s">
        <v>13</v>
      </c>
      <c r="E72" s="7"/>
      <c r="F72" s="12" t="s">
        <v>152</v>
      </c>
      <c r="G72" s="6" t="n">
        <v>9</v>
      </c>
      <c r="H72" s="9" t="s">
        <v>15</v>
      </c>
      <c r="I72" s="7"/>
      <c r="J72" s="10"/>
    </row>
    <row r="73" customFormat="false" ht="15" hidden="false" customHeight="true" outlineLevel="0" collapsed="false">
      <c r="A73" s="5" t="s">
        <v>153</v>
      </c>
      <c r="B73" s="6" t="n">
        <v>3</v>
      </c>
      <c r="C73" s="6" t="n">
        <v>5</v>
      </c>
      <c r="D73" s="5" t="s">
        <v>31</v>
      </c>
      <c r="E73" s="7"/>
      <c r="F73" s="8" t="s">
        <v>154</v>
      </c>
      <c r="G73" s="6" t="n">
        <v>2</v>
      </c>
      <c r="H73" s="9" t="s">
        <v>15</v>
      </c>
      <c r="I73" s="7"/>
      <c r="J73" s="10"/>
    </row>
    <row r="74" customFormat="false" ht="15" hidden="false" customHeight="true" outlineLevel="0" collapsed="false">
      <c r="A74" s="5" t="s">
        <v>155</v>
      </c>
      <c r="B74" s="6" t="n">
        <v>3</v>
      </c>
      <c r="C74" s="6" t="n">
        <v>5</v>
      </c>
      <c r="D74" s="5" t="s">
        <v>31</v>
      </c>
      <c r="E74" s="7"/>
      <c r="F74" s="8" t="s">
        <v>156</v>
      </c>
      <c r="G74" s="6" t="n">
        <v>4</v>
      </c>
      <c r="H74" s="9" t="s">
        <v>15</v>
      </c>
      <c r="I74" s="7"/>
      <c r="J74" s="10"/>
    </row>
    <row r="75" customFormat="false" ht="15" hidden="false" customHeight="true" outlineLevel="0" collapsed="false">
      <c r="A75" s="5" t="s">
        <v>157</v>
      </c>
      <c r="B75" s="6" t="n">
        <v>3</v>
      </c>
      <c r="C75" s="6" t="n">
        <v>5</v>
      </c>
      <c r="D75" s="5" t="s">
        <v>31</v>
      </c>
      <c r="E75" s="7"/>
      <c r="F75" s="8" t="s">
        <v>158</v>
      </c>
      <c r="G75" s="6" t="n">
        <v>5</v>
      </c>
      <c r="H75" s="9" t="s">
        <v>15</v>
      </c>
      <c r="I75" s="7"/>
      <c r="J75" s="10"/>
    </row>
    <row r="76" customFormat="false" ht="15" hidden="false" customHeight="true" outlineLevel="0" collapsed="false">
      <c r="A76" s="5" t="s">
        <v>159</v>
      </c>
      <c r="B76" s="6" t="n">
        <v>3</v>
      </c>
      <c r="C76" s="6" t="n">
        <v>6</v>
      </c>
      <c r="D76" s="5" t="s">
        <v>31</v>
      </c>
      <c r="E76" s="7"/>
      <c r="F76" s="8" t="s">
        <v>160</v>
      </c>
      <c r="G76" s="6" t="n">
        <v>6</v>
      </c>
      <c r="H76" s="9" t="s">
        <v>15</v>
      </c>
      <c r="I76" s="7"/>
      <c r="J76" s="10"/>
    </row>
    <row r="77" customFormat="false" ht="15" hidden="false" customHeight="true" outlineLevel="0" collapsed="false">
      <c r="A77" s="5" t="s">
        <v>161</v>
      </c>
      <c r="B77" s="6" t="n">
        <v>3</v>
      </c>
      <c r="C77" s="6" t="n">
        <v>6</v>
      </c>
      <c r="D77" s="5" t="s">
        <v>31</v>
      </c>
      <c r="E77" s="7"/>
      <c r="F77" s="8" t="s">
        <v>162</v>
      </c>
      <c r="G77" s="6" t="n">
        <v>7</v>
      </c>
      <c r="H77" s="9" t="s">
        <v>15</v>
      </c>
      <c r="I77" s="7"/>
      <c r="J77" s="10"/>
    </row>
    <row r="78" customFormat="false" ht="15" hidden="false" customHeight="true" outlineLevel="0" collapsed="false">
      <c r="A78" s="5" t="s">
        <v>163</v>
      </c>
      <c r="B78" s="6" t="n">
        <v>3</v>
      </c>
      <c r="C78" s="6" t="n">
        <v>6</v>
      </c>
      <c r="D78" s="5" t="s">
        <v>31</v>
      </c>
      <c r="E78" s="7"/>
      <c r="F78" s="8" t="s">
        <v>164</v>
      </c>
      <c r="G78" s="6" t="n">
        <v>9</v>
      </c>
      <c r="H78" s="9" t="s">
        <v>15</v>
      </c>
      <c r="I78" s="7"/>
      <c r="J78" s="10"/>
    </row>
    <row r="79" customFormat="false" ht="15" hidden="false" customHeight="true" outlineLevel="0" collapsed="false">
      <c r="A79" s="5" t="s">
        <v>165</v>
      </c>
      <c r="B79" s="6" t="n">
        <v>3</v>
      </c>
      <c r="C79" s="6" t="n">
        <v>5</v>
      </c>
      <c r="D79" s="5" t="s">
        <v>44</v>
      </c>
      <c r="E79" s="7"/>
      <c r="F79" s="8" t="s">
        <v>166</v>
      </c>
      <c r="G79" s="6" t="n">
        <v>3</v>
      </c>
      <c r="H79" s="9" t="s">
        <v>15</v>
      </c>
      <c r="I79" s="7"/>
      <c r="J79" s="10"/>
    </row>
    <row r="80" customFormat="false" ht="15" hidden="false" customHeight="true" outlineLevel="0" collapsed="false">
      <c r="A80" s="5" t="s">
        <v>167</v>
      </c>
      <c r="B80" s="6" t="n">
        <v>3</v>
      </c>
      <c r="C80" s="6" t="n">
        <v>5</v>
      </c>
      <c r="D80" s="5" t="s">
        <v>44</v>
      </c>
      <c r="E80" s="7"/>
      <c r="F80" s="8" t="s">
        <v>168</v>
      </c>
      <c r="G80" s="6" t="n">
        <v>5</v>
      </c>
      <c r="H80" s="9" t="s">
        <v>15</v>
      </c>
      <c r="I80" s="7"/>
      <c r="J80" s="10"/>
    </row>
    <row r="81" customFormat="false" ht="15" hidden="false" customHeight="true" outlineLevel="0" collapsed="false">
      <c r="A81" s="5" t="s">
        <v>169</v>
      </c>
      <c r="B81" s="6" t="n">
        <v>3</v>
      </c>
      <c r="C81" s="6" t="n">
        <v>6</v>
      </c>
      <c r="D81" s="5" t="s">
        <v>44</v>
      </c>
      <c r="E81" s="7"/>
      <c r="F81" s="8" t="s">
        <v>170</v>
      </c>
      <c r="G81" s="6" t="n">
        <v>7</v>
      </c>
      <c r="H81" s="9" t="s">
        <v>15</v>
      </c>
      <c r="I81" s="7"/>
      <c r="J81" s="10"/>
    </row>
    <row r="82" customFormat="false" ht="15" hidden="false" customHeight="true" outlineLevel="0" collapsed="false">
      <c r="A82" s="11" t="s">
        <v>171</v>
      </c>
      <c r="B82" s="6" t="n">
        <v>3</v>
      </c>
      <c r="C82" s="6" t="n">
        <v>6</v>
      </c>
      <c r="D82" s="5" t="s">
        <v>44</v>
      </c>
      <c r="E82" s="7"/>
      <c r="F82" s="12" t="s">
        <v>172</v>
      </c>
      <c r="G82" s="6" t="n">
        <v>8</v>
      </c>
      <c r="H82" s="9" t="s">
        <v>15</v>
      </c>
      <c r="I82" s="7"/>
      <c r="J82" s="10"/>
    </row>
    <row r="83" customFormat="false" ht="15" hidden="false" customHeight="true" outlineLevel="0" collapsed="false">
      <c r="A83" s="5" t="s">
        <v>173</v>
      </c>
      <c r="B83" s="6" t="n">
        <v>3</v>
      </c>
      <c r="C83" s="6" t="n">
        <v>6</v>
      </c>
      <c r="D83" s="5" t="s">
        <v>44</v>
      </c>
      <c r="E83" s="7"/>
      <c r="F83" s="8" t="s">
        <v>174</v>
      </c>
      <c r="G83" s="6" t="n">
        <v>9</v>
      </c>
      <c r="H83" s="9" t="s">
        <v>15</v>
      </c>
      <c r="I83" s="7"/>
      <c r="J83" s="10"/>
    </row>
    <row r="84" customFormat="false" ht="15" hidden="false" customHeight="true" outlineLevel="0" collapsed="false">
      <c r="A84" s="5" t="s">
        <v>175</v>
      </c>
      <c r="B84" s="6" t="n">
        <v>3</v>
      </c>
      <c r="C84" s="6" t="n">
        <v>6</v>
      </c>
      <c r="D84" s="5" t="s">
        <v>44</v>
      </c>
      <c r="E84" s="7"/>
      <c r="F84" s="8" t="s">
        <v>55</v>
      </c>
      <c r="G84" s="6" t="n">
        <v>9</v>
      </c>
      <c r="H84" s="9" t="s">
        <v>15</v>
      </c>
      <c r="I84" s="7"/>
      <c r="J84" s="10"/>
    </row>
    <row r="85" customFormat="false" ht="15" hidden="false" customHeight="true" outlineLevel="0" collapsed="false">
      <c r="A85" s="5" t="s">
        <v>176</v>
      </c>
      <c r="B85" s="6" t="n">
        <v>3</v>
      </c>
      <c r="C85" s="6" t="n">
        <v>5</v>
      </c>
      <c r="D85" s="5" t="s">
        <v>57</v>
      </c>
      <c r="E85" s="7"/>
      <c r="F85" s="8" t="s">
        <v>177</v>
      </c>
      <c r="G85" s="6" t="n">
        <v>2</v>
      </c>
      <c r="H85" s="9" t="s">
        <v>15</v>
      </c>
      <c r="I85" s="7"/>
      <c r="J85" s="10"/>
    </row>
    <row r="86" customFormat="false" ht="15" hidden="false" customHeight="true" outlineLevel="0" collapsed="false">
      <c r="A86" s="5" t="s">
        <v>178</v>
      </c>
      <c r="B86" s="6" t="n">
        <v>3</v>
      </c>
      <c r="C86" s="6" t="n">
        <v>5</v>
      </c>
      <c r="D86" s="5" t="s">
        <v>57</v>
      </c>
      <c r="E86" s="7"/>
      <c r="F86" s="8" t="s">
        <v>179</v>
      </c>
      <c r="G86" s="6" t="n">
        <v>3</v>
      </c>
      <c r="H86" s="9" t="s">
        <v>15</v>
      </c>
      <c r="I86" s="7"/>
      <c r="J86" s="10"/>
    </row>
    <row r="87" customFormat="false" ht="15" hidden="false" customHeight="true" outlineLevel="0" collapsed="false">
      <c r="A87" s="5" t="s">
        <v>180</v>
      </c>
      <c r="B87" s="6" t="n">
        <v>3</v>
      </c>
      <c r="C87" s="6" t="n">
        <v>5</v>
      </c>
      <c r="D87" s="5" t="s">
        <v>57</v>
      </c>
      <c r="E87" s="7"/>
      <c r="F87" s="8" t="s">
        <v>181</v>
      </c>
      <c r="G87" s="6" t="n">
        <v>4</v>
      </c>
      <c r="H87" s="9" t="s">
        <v>15</v>
      </c>
      <c r="I87" s="7"/>
      <c r="J87" s="10"/>
    </row>
    <row r="88" customFormat="false" ht="15" hidden="false" customHeight="true" outlineLevel="0" collapsed="false">
      <c r="A88" s="5" t="s">
        <v>182</v>
      </c>
      <c r="B88" s="6" t="n">
        <v>3</v>
      </c>
      <c r="C88" s="6" t="n">
        <v>5</v>
      </c>
      <c r="D88" s="5" t="s">
        <v>57</v>
      </c>
      <c r="E88" s="7"/>
      <c r="F88" s="8" t="s">
        <v>122</v>
      </c>
      <c r="G88" s="6" t="n">
        <v>5</v>
      </c>
      <c r="H88" s="9" t="s">
        <v>15</v>
      </c>
      <c r="I88" s="7"/>
      <c r="J88" s="10"/>
    </row>
    <row r="89" customFormat="false" ht="15" hidden="false" customHeight="true" outlineLevel="0" collapsed="false">
      <c r="A89" s="5" t="s">
        <v>183</v>
      </c>
      <c r="B89" s="6" t="n">
        <v>3</v>
      </c>
      <c r="C89" s="6" t="n">
        <v>6</v>
      </c>
      <c r="D89" s="5" t="s">
        <v>57</v>
      </c>
      <c r="E89" s="7"/>
      <c r="F89" s="8" t="s">
        <v>126</v>
      </c>
      <c r="G89" s="6" t="n">
        <v>9</v>
      </c>
      <c r="H89" s="9" t="s">
        <v>15</v>
      </c>
      <c r="I89" s="7"/>
      <c r="J89" s="10"/>
    </row>
    <row r="90" customFormat="false" ht="15" hidden="false" customHeight="true" outlineLevel="0" collapsed="false">
      <c r="A90" s="5" t="s">
        <v>184</v>
      </c>
      <c r="B90" s="6" t="n">
        <v>3</v>
      </c>
      <c r="C90" s="6" t="n">
        <v>5</v>
      </c>
      <c r="D90" s="5" t="s">
        <v>68</v>
      </c>
      <c r="E90" s="7"/>
      <c r="F90" s="8" t="s">
        <v>185</v>
      </c>
      <c r="G90" s="6" t="n">
        <v>1</v>
      </c>
      <c r="H90" s="9" t="s">
        <v>15</v>
      </c>
      <c r="I90" s="7"/>
      <c r="J90" s="10"/>
    </row>
    <row r="91" customFormat="false" ht="15" hidden="false" customHeight="true" outlineLevel="0" collapsed="false">
      <c r="A91" s="5" t="s">
        <v>186</v>
      </c>
      <c r="B91" s="6" t="n">
        <v>3</v>
      </c>
      <c r="C91" s="6" t="n">
        <v>5</v>
      </c>
      <c r="D91" s="5" t="s">
        <v>68</v>
      </c>
      <c r="E91" s="7"/>
      <c r="F91" s="8" t="s">
        <v>187</v>
      </c>
      <c r="G91" s="6" t="n">
        <v>3</v>
      </c>
      <c r="H91" s="9" t="s">
        <v>15</v>
      </c>
      <c r="I91" s="7"/>
      <c r="J91" s="10"/>
    </row>
    <row r="92" customFormat="false" ht="15" hidden="false" customHeight="true" outlineLevel="0" collapsed="false">
      <c r="A92" s="5" t="s">
        <v>188</v>
      </c>
      <c r="B92" s="6" t="n">
        <v>3</v>
      </c>
      <c r="C92" s="6" t="n">
        <v>5</v>
      </c>
      <c r="D92" s="5" t="s">
        <v>68</v>
      </c>
      <c r="E92" s="7"/>
      <c r="F92" s="8" t="s">
        <v>132</v>
      </c>
      <c r="G92" s="6" t="n">
        <v>5</v>
      </c>
      <c r="H92" s="9" t="s">
        <v>15</v>
      </c>
      <c r="I92" s="7"/>
      <c r="J92" s="10"/>
    </row>
    <row r="93" customFormat="false" ht="15" hidden="false" customHeight="true" outlineLevel="0" collapsed="false">
      <c r="A93" s="5" t="s">
        <v>189</v>
      </c>
      <c r="B93" s="6" t="n">
        <v>3</v>
      </c>
      <c r="C93" s="6" t="n">
        <v>6</v>
      </c>
      <c r="D93" s="5" t="s">
        <v>68</v>
      </c>
      <c r="E93" s="7"/>
      <c r="F93" s="8" t="s">
        <v>190</v>
      </c>
      <c r="G93" s="6" t="n">
        <v>8</v>
      </c>
      <c r="H93" s="9" t="s">
        <v>15</v>
      </c>
      <c r="I93" s="7"/>
      <c r="J93" s="10"/>
    </row>
    <row r="94" customFormat="false" ht="15" hidden="false" customHeight="true" outlineLevel="0" collapsed="false">
      <c r="A94" s="5" t="s">
        <v>191</v>
      </c>
      <c r="B94" s="6" t="n">
        <v>3</v>
      </c>
      <c r="C94" s="6" t="n">
        <v>6</v>
      </c>
      <c r="D94" s="5" t="s">
        <v>68</v>
      </c>
      <c r="E94" s="7"/>
      <c r="F94" s="8" t="s">
        <v>192</v>
      </c>
      <c r="G94" s="6" t="n">
        <v>10</v>
      </c>
      <c r="H94" s="9" t="s">
        <v>15</v>
      </c>
      <c r="I94" s="7"/>
      <c r="J94" s="10"/>
    </row>
    <row r="95" customFormat="false" ht="15" hidden="false" customHeight="true" outlineLevel="0" collapsed="false">
      <c r="A95" s="11" t="s">
        <v>193</v>
      </c>
      <c r="B95" s="6" t="n">
        <v>4</v>
      </c>
      <c r="C95" s="6" t="n">
        <v>7</v>
      </c>
      <c r="D95" s="5" t="s">
        <v>13</v>
      </c>
      <c r="E95" s="7"/>
      <c r="F95" s="12" t="s">
        <v>194</v>
      </c>
      <c r="G95" s="6" t="n">
        <v>3</v>
      </c>
      <c r="H95" s="9" t="s">
        <v>15</v>
      </c>
      <c r="I95" s="7"/>
      <c r="J95" s="10"/>
    </row>
    <row r="96" customFormat="false" ht="15" hidden="false" customHeight="true" outlineLevel="0" collapsed="false">
      <c r="A96" s="11" t="s">
        <v>195</v>
      </c>
      <c r="B96" s="6" t="n">
        <v>4</v>
      </c>
      <c r="C96" s="6" t="n">
        <v>7</v>
      </c>
      <c r="D96" s="5" t="s">
        <v>13</v>
      </c>
      <c r="E96" s="7"/>
      <c r="F96" s="12" t="s">
        <v>196</v>
      </c>
      <c r="G96" s="6" t="n">
        <v>5</v>
      </c>
      <c r="H96" s="9" t="s">
        <v>15</v>
      </c>
      <c r="I96" s="7"/>
      <c r="J96" s="10"/>
    </row>
    <row r="97" customFormat="false" ht="15" hidden="false" customHeight="true" outlineLevel="0" collapsed="false">
      <c r="A97" s="11" t="s">
        <v>197</v>
      </c>
      <c r="B97" s="6" t="n">
        <v>4</v>
      </c>
      <c r="C97" s="6" t="n">
        <v>8</v>
      </c>
      <c r="D97" s="5" t="s">
        <v>13</v>
      </c>
      <c r="E97" s="7"/>
      <c r="F97" s="12" t="s">
        <v>198</v>
      </c>
      <c r="G97" s="6" t="n">
        <v>6</v>
      </c>
      <c r="H97" s="9" t="s">
        <v>15</v>
      </c>
      <c r="I97" s="7"/>
      <c r="J97" s="10"/>
    </row>
    <row r="98" customFormat="false" ht="15" hidden="false" customHeight="true" outlineLevel="0" collapsed="false">
      <c r="A98" s="11" t="s">
        <v>199</v>
      </c>
      <c r="B98" s="6" t="n">
        <v>4</v>
      </c>
      <c r="C98" s="6" t="n">
        <v>8</v>
      </c>
      <c r="D98" s="5" t="s">
        <v>13</v>
      </c>
      <c r="E98" s="7"/>
      <c r="F98" s="12" t="s">
        <v>200</v>
      </c>
      <c r="G98" s="6" t="n">
        <v>6</v>
      </c>
      <c r="H98" s="9" t="s">
        <v>15</v>
      </c>
      <c r="I98" s="7"/>
      <c r="J98" s="10"/>
    </row>
    <row r="99" customFormat="false" ht="15" hidden="false" customHeight="true" outlineLevel="0" collapsed="false">
      <c r="A99" s="11" t="s">
        <v>201</v>
      </c>
      <c r="B99" s="6" t="n">
        <v>4</v>
      </c>
      <c r="C99" s="6" t="n">
        <v>8</v>
      </c>
      <c r="D99" s="5" t="s">
        <v>13</v>
      </c>
      <c r="E99" s="7"/>
      <c r="F99" s="12" t="s">
        <v>202</v>
      </c>
      <c r="G99" s="6" t="n">
        <v>7</v>
      </c>
      <c r="H99" s="9" t="s">
        <v>15</v>
      </c>
      <c r="I99" s="7"/>
      <c r="J99" s="10"/>
    </row>
    <row r="100" customFormat="false" ht="15" hidden="false" customHeight="true" outlineLevel="0" collapsed="false">
      <c r="A100" s="11" t="s">
        <v>203</v>
      </c>
      <c r="B100" s="6" t="n">
        <v>4</v>
      </c>
      <c r="C100" s="6" t="n">
        <v>8</v>
      </c>
      <c r="D100" s="5" t="s">
        <v>13</v>
      </c>
      <c r="E100" s="7"/>
      <c r="F100" s="12" t="s">
        <v>204</v>
      </c>
      <c r="G100" s="6" t="n">
        <v>7</v>
      </c>
      <c r="H100" s="9" t="s">
        <v>15</v>
      </c>
      <c r="I100" s="7"/>
      <c r="J100" s="10"/>
    </row>
    <row r="101" customFormat="false" ht="15" hidden="false" customHeight="true" outlineLevel="0" collapsed="false">
      <c r="A101" s="11" t="s">
        <v>205</v>
      </c>
      <c r="B101" s="6" t="n">
        <v>4</v>
      </c>
      <c r="C101" s="6" t="n">
        <v>8</v>
      </c>
      <c r="D101" s="5" t="s">
        <v>13</v>
      </c>
      <c r="E101" s="7"/>
      <c r="F101" s="12" t="s">
        <v>206</v>
      </c>
      <c r="G101" s="6" t="n">
        <v>8</v>
      </c>
      <c r="H101" s="9" t="s">
        <v>15</v>
      </c>
      <c r="I101" s="7"/>
      <c r="J101" s="10"/>
    </row>
    <row r="102" customFormat="false" ht="15" hidden="false" customHeight="true" outlineLevel="0" collapsed="false">
      <c r="A102" s="5" t="s">
        <v>207</v>
      </c>
      <c r="B102" s="6" t="n">
        <v>4</v>
      </c>
      <c r="C102" s="6" t="n">
        <v>8</v>
      </c>
      <c r="D102" s="5" t="s">
        <v>13</v>
      </c>
      <c r="E102" s="7"/>
      <c r="F102" s="8" t="s">
        <v>208</v>
      </c>
      <c r="G102" s="6" t="n">
        <v>9</v>
      </c>
      <c r="H102" s="9" t="s">
        <v>15</v>
      </c>
      <c r="I102" s="7"/>
      <c r="J102" s="10"/>
    </row>
    <row r="103" customFormat="false" ht="15" hidden="false" customHeight="true" outlineLevel="0" collapsed="false">
      <c r="A103" s="5" t="s">
        <v>209</v>
      </c>
      <c r="B103" s="6" t="n">
        <v>4</v>
      </c>
      <c r="C103" s="6" t="n">
        <v>7</v>
      </c>
      <c r="D103" s="5" t="s">
        <v>31</v>
      </c>
      <c r="E103" s="7"/>
      <c r="F103" s="8" t="s">
        <v>210</v>
      </c>
      <c r="G103" s="6" t="n">
        <v>2</v>
      </c>
      <c r="H103" s="9" t="s">
        <v>15</v>
      </c>
      <c r="I103" s="7"/>
      <c r="J103" s="10"/>
    </row>
    <row r="104" customFormat="false" ht="15" hidden="false" customHeight="true" outlineLevel="0" collapsed="false">
      <c r="A104" s="5" t="s">
        <v>211</v>
      </c>
      <c r="B104" s="6" t="n">
        <v>4</v>
      </c>
      <c r="C104" s="6" t="n">
        <v>7</v>
      </c>
      <c r="D104" s="5" t="s">
        <v>31</v>
      </c>
      <c r="E104" s="7"/>
      <c r="F104" s="8" t="s">
        <v>212</v>
      </c>
      <c r="G104" s="6" t="n">
        <v>4</v>
      </c>
      <c r="H104" s="9" t="s">
        <v>15</v>
      </c>
      <c r="I104" s="7"/>
      <c r="J104" s="10"/>
    </row>
    <row r="105" customFormat="false" ht="15" hidden="false" customHeight="true" outlineLevel="0" collapsed="false">
      <c r="A105" s="11" t="s">
        <v>213</v>
      </c>
      <c r="B105" s="6" t="n">
        <v>4</v>
      </c>
      <c r="C105" s="6" t="n">
        <v>7</v>
      </c>
      <c r="D105" s="5" t="s">
        <v>31</v>
      </c>
      <c r="E105" s="7"/>
      <c r="F105" s="12" t="s">
        <v>214</v>
      </c>
      <c r="G105" s="6" t="n">
        <v>5</v>
      </c>
      <c r="H105" s="9" t="s">
        <v>15</v>
      </c>
      <c r="I105" s="7"/>
      <c r="J105" s="10"/>
    </row>
    <row r="106" customFormat="false" ht="15" hidden="false" customHeight="true" outlineLevel="0" collapsed="false">
      <c r="A106" s="5" t="s">
        <v>215</v>
      </c>
      <c r="B106" s="6" t="n">
        <v>4</v>
      </c>
      <c r="C106" s="6" t="n">
        <v>8</v>
      </c>
      <c r="D106" s="5" t="s">
        <v>31</v>
      </c>
      <c r="E106" s="7"/>
      <c r="F106" s="8" t="s">
        <v>216</v>
      </c>
      <c r="G106" s="6" t="n">
        <v>6</v>
      </c>
      <c r="H106" s="9" t="s">
        <v>15</v>
      </c>
      <c r="I106" s="7"/>
      <c r="J106" s="10"/>
    </row>
    <row r="107" customFormat="false" ht="15" hidden="false" customHeight="true" outlineLevel="0" collapsed="false">
      <c r="A107" s="5" t="s">
        <v>217</v>
      </c>
      <c r="B107" s="6" t="n">
        <v>4</v>
      </c>
      <c r="C107" s="6" t="n">
        <v>8</v>
      </c>
      <c r="D107" s="5" t="s">
        <v>31</v>
      </c>
      <c r="E107" s="7"/>
      <c r="F107" s="8" t="s">
        <v>218</v>
      </c>
      <c r="G107" s="6" t="n">
        <v>7</v>
      </c>
      <c r="H107" s="9" t="s">
        <v>15</v>
      </c>
      <c r="I107" s="7"/>
      <c r="J107" s="10"/>
    </row>
    <row r="108" customFormat="false" ht="15" hidden="false" customHeight="true" outlineLevel="0" collapsed="false">
      <c r="A108" s="5" t="s">
        <v>219</v>
      </c>
      <c r="B108" s="6" t="n">
        <v>4</v>
      </c>
      <c r="C108" s="6" t="n">
        <v>8</v>
      </c>
      <c r="D108" s="5" t="s">
        <v>31</v>
      </c>
      <c r="E108" s="7"/>
      <c r="F108" s="8" t="s">
        <v>220</v>
      </c>
      <c r="G108" s="6" t="n">
        <v>9</v>
      </c>
      <c r="H108" s="9" t="s">
        <v>15</v>
      </c>
      <c r="I108" s="7"/>
      <c r="J108" s="10"/>
    </row>
    <row r="109" customFormat="false" ht="15" hidden="false" customHeight="true" outlineLevel="0" collapsed="false">
      <c r="A109" s="11" t="s">
        <v>221</v>
      </c>
      <c r="B109" s="6" t="n">
        <v>4</v>
      </c>
      <c r="C109" s="6" t="n">
        <v>7</v>
      </c>
      <c r="D109" s="5" t="s">
        <v>44</v>
      </c>
      <c r="E109" s="7"/>
      <c r="F109" s="12" t="s">
        <v>222</v>
      </c>
      <c r="G109" s="6" t="n">
        <v>5</v>
      </c>
      <c r="H109" s="9" t="s">
        <v>15</v>
      </c>
      <c r="I109" s="7"/>
      <c r="J109" s="10"/>
    </row>
    <row r="110" customFormat="false" ht="15" hidden="false" customHeight="true" outlineLevel="0" collapsed="false">
      <c r="A110" s="11" t="s">
        <v>223</v>
      </c>
      <c r="B110" s="6" t="n">
        <v>4</v>
      </c>
      <c r="C110" s="6" t="n">
        <v>8</v>
      </c>
      <c r="D110" s="5" t="s">
        <v>44</v>
      </c>
      <c r="E110" s="7"/>
      <c r="F110" s="12" t="s">
        <v>224</v>
      </c>
      <c r="G110" s="6" t="n">
        <v>7</v>
      </c>
      <c r="H110" s="9" t="s">
        <v>15</v>
      </c>
      <c r="I110" s="7"/>
      <c r="J110" s="10"/>
    </row>
    <row r="111" customFormat="false" ht="15" hidden="false" customHeight="true" outlineLevel="0" collapsed="false">
      <c r="A111" s="11" t="s">
        <v>225</v>
      </c>
      <c r="B111" s="6" t="n">
        <v>4</v>
      </c>
      <c r="C111" s="6" t="n">
        <v>8</v>
      </c>
      <c r="D111" s="5" t="s">
        <v>44</v>
      </c>
      <c r="E111" s="7"/>
      <c r="F111" s="12" t="s">
        <v>226</v>
      </c>
      <c r="G111" s="6" t="n">
        <v>8</v>
      </c>
      <c r="H111" s="9" t="s">
        <v>15</v>
      </c>
      <c r="I111" s="7"/>
      <c r="J111" s="10"/>
    </row>
    <row r="112" customFormat="false" ht="15" hidden="false" customHeight="true" outlineLevel="0" collapsed="false">
      <c r="A112" s="11" t="s">
        <v>227</v>
      </c>
      <c r="B112" s="6" t="n">
        <v>4</v>
      </c>
      <c r="C112" s="6" t="n">
        <v>8</v>
      </c>
      <c r="D112" s="5" t="s">
        <v>44</v>
      </c>
      <c r="E112" s="7"/>
      <c r="F112" s="12" t="s">
        <v>228</v>
      </c>
      <c r="G112" s="6" t="n">
        <v>8</v>
      </c>
      <c r="H112" s="9" t="s">
        <v>15</v>
      </c>
      <c r="I112" s="7"/>
      <c r="J112" s="10"/>
    </row>
    <row r="113" customFormat="false" ht="15" hidden="false" customHeight="true" outlineLevel="0" collapsed="false">
      <c r="A113" s="5" t="s">
        <v>229</v>
      </c>
      <c r="B113" s="6" t="n">
        <v>4</v>
      </c>
      <c r="C113" s="6" t="n">
        <v>8</v>
      </c>
      <c r="D113" s="5" t="s">
        <v>44</v>
      </c>
      <c r="E113" s="7"/>
      <c r="F113" s="8" t="s">
        <v>230</v>
      </c>
      <c r="G113" s="6" t="n">
        <v>9</v>
      </c>
      <c r="H113" s="9" t="s">
        <v>15</v>
      </c>
      <c r="I113" s="7"/>
      <c r="J113" s="10"/>
    </row>
    <row r="114" customFormat="false" ht="15" hidden="false" customHeight="true" outlineLevel="0" collapsed="false">
      <c r="A114" s="5" t="s">
        <v>231</v>
      </c>
      <c r="B114" s="6" t="n">
        <v>4</v>
      </c>
      <c r="C114" s="6" t="n">
        <v>8</v>
      </c>
      <c r="D114" s="5" t="s">
        <v>44</v>
      </c>
      <c r="E114" s="7"/>
      <c r="F114" s="8" t="s">
        <v>232</v>
      </c>
      <c r="G114" s="6" t="n">
        <v>9</v>
      </c>
      <c r="H114" s="9" t="s">
        <v>15</v>
      </c>
      <c r="I114" s="7"/>
      <c r="J114" s="10"/>
    </row>
    <row r="115" customFormat="false" ht="15" hidden="false" customHeight="true" outlineLevel="0" collapsed="false">
      <c r="A115" s="5" t="s">
        <v>233</v>
      </c>
      <c r="B115" s="6" t="n">
        <v>4</v>
      </c>
      <c r="C115" s="6" t="n">
        <v>7</v>
      </c>
      <c r="D115" s="5" t="s">
        <v>57</v>
      </c>
      <c r="E115" s="7"/>
      <c r="F115" s="8" t="s">
        <v>234</v>
      </c>
      <c r="G115" s="6" t="n">
        <v>2</v>
      </c>
      <c r="H115" s="9" t="s">
        <v>15</v>
      </c>
      <c r="I115" s="7"/>
      <c r="J115" s="10"/>
    </row>
    <row r="116" customFormat="false" ht="15" hidden="false" customHeight="true" outlineLevel="0" collapsed="false">
      <c r="A116" s="5" t="s">
        <v>235</v>
      </c>
      <c r="B116" s="6" t="n">
        <v>4</v>
      </c>
      <c r="C116" s="6" t="n">
        <v>7</v>
      </c>
      <c r="D116" s="5" t="s">
        <v>57</v>
      </c>
      <c r="E116" s="7"/>
      <c r="F116" s="8" t="s">
        <v>236</v>
      </c>
      <c r="G116" s="6" t="n">
        <v>3</v>
      </c>
      <c r="H116" s="9" t="s">
        <v>15</v>
      </c>
      <c r="I116" s="7"/>
      <c r="J116" s="10"/>
    </row>
    <row r="117" customFormat="false" ht="15" hidden="false" customHeight="true" outlineLevel="0" collapsed="false">
      <c r="A117" s="11" t="s">
        <v>237</v>
      </c>
      <c r="B117" s="6" t="n">
        <v>4</v>
      </c>
      <c r="C117" s="6" t="n">
        <v>7</v>
      </c>
      <c r="D117" s="5" t="s">
        <v>57</v>
      </c>
      <c r="E117" s="7"/>
      <c r="F117" s="12" t="s">
        <v>238</v>
      </c>
      <c r="G117" s="6" t="n">
        <v>4</v>
      </c>
      <c r="H117" s="9" t="s">
        <v>15</v>
      </c>
      <c r="I117" s="7"/>
      <c r="J117" s="10"/>
    </row>
    <row r="118" customFormat="false" ht="15" hidden="false" customHeight="true" outlineLevel="0" collapsed="false">
      <c r="A118" s="5" t="s">
        <v>239</v>
      </c>
      <c r="B118" s="6" t="n">
        <v>4</v>
      </c>
      <c r="C118" s="6" t="n">
        <v>7</v>
      </c>
      <c r="D118" s="5" t="s">
        <v>57</v>
      </c>
      <c r="E118" s="7"/>
      <c r="F118" s="8" t="s">
        <v>122</v>
      </c>
      <c r="G118" s="6" t="n">
        <v>5</v>
      </c>
      <c r="H118" s="9" t="s">
        <v>15</v>
      </c>
      <c r="I118" s="7"/>
      <c r="J118" s="10"/>
    </row>
    <row r="119" customFormat="false" ht="15" hidden="false" customHeight="true" outlineLevel="0" collapsed="false">
      <c r="A119" s="5" t="s">
        <v>240</v>
      </c>
      <c r="B119" s="6" t="n">
        <v>4</v>
      </c>
      <c r="C119" s="6" t="n">
        <v>8</v>
      </c>
      <c r="D119" s="5" t="s">
        <v>57</v>
      </c>
      <c r="E119" s="7"/>
      <c r="F119" s="8" t="s">
        <v>241</v>
      </c>
      <c r="G119" s="6" t="n">
        <v>9</v>
      </c>
      <c r="H119" s="9" t="s">
        <v>15</v>
      </c>
      <c r="I119" s="7"/>
      <c r="J119" s="10"/>
    </row>
    <row r="120" customFormat="false" ht="15" hidden="false" customHeight="true" outlineLevel="0" collapsed="false">
      <c r="A120" s="5" t="s">
        <v>242</v>
      </c>
      <c r="B120" s="6" t="n">
        <v>4</v>
      </c>
      <c r="C120" s="6" t="n">
        <v>7</v>
      </c>
      <c r="D120" s="5" t="s">
        <v>68</v>
      </c>
      <c r="E120" s="7"/>
      <c r="F120" s="8" t="s">
        <v>243</v>
      </c>
      <c r="G120" s="6" t="n">
        <v>1</v>
      </c>
      <c r="H120" s="9" t="s">
        <v>15</v>
      </c>
      <c r="I120" s="7"/>
      <c r="J120" s="10"/>
    </row>
    <row r="121" customFormat="false" ht="15" hidden="false" customHeight="true" outlineLevel="0" collapsed="false">
      <c r="A121" s="5" t="s">
        <v>244</v>
      </c>
      <c r="B121" s="6" t="n">
        <v>4</v>
      </c>
      <c r="C121" s="6" t="n">
        <v>7</v>
      </c>
      <c r="D121" s="5" t="s">
        <v>68</v>
      </c>
      <c r="E121" s="7"/>
      <c r="F121" s="8" t="s">
        <v>132</v>
      </c>
      <c r="G121" s="6" t="n">
        <v>5</v>
      </c>
      <c r="H121" s="9" t="s">
        <v>15</v>
      </c>
      <c r="I121" s="7"/>
      <c r="J121" s="10"/>
    </row>
    <row r="122" customFormat="false" ht="15" hidden="false" customHeight="true" outlineLevel="0" collapsed="false">
      <c r="A122" s="5" t="s">
        <v>245</v>
      </c>
      <c r="B122" s="6" t="n">
        <v>4</v>
      </c>
      <c r="C122" s="6" t="n">
        <v>8</v>
      </c>
      <c r="D122" s="5" t="s">
        <v>68</v>
      </c>
      <c r="E122" s="7"/>
      <c r="F122" s="8" t="s">
        <v>246</v>
      </c>
      <c r="G122" s="6" t="n">
        <v>8</v>
      </c>
      <c r="H122" s="9" t="s">
        <v>15</v>
      </c>
      <c r="I122" s="7"/>
      <c r="J122" s="10"/>
    </row>
    <row r="123" customFormat="false" ht="15" hidden="false" customHeight="true" outlineLevel="0" collapsed="false">
      <c r="A123" s="5" t="s">
        <v>247</v>
      </c>
      <c r="B123" s="6" t="n">
        <v>4</v>
      </c>
      <c r="C123" s="6" t="n">
        <v>8</v>
      </c>
      <c r="D123" s="5" t="s">
        <v>68</v>
      </c>
      <c r="E123" s="7"/>
      <c r="F123" s="8" t="s">
        <v>248</v>
      </c>
      <c r="G123" s="6" t="n">
        <v>9</v>
      </c>
      <c r="H123" s="9" t="s">
        <v>15</v>
      </c>
      <c r="I123" s="7"/>
      <c r="J123" s="10"/>
    </row>
    <row r="124" customFormat="false" ht="15" hidden="false" customHeight="true" outlineLevel="0" collapsed="false">
      <c r="A124" s="5" t="s">
        <v>249</v>
      </c>
      <c r="B124" s="6" t="n">
        <v>4</v>
      </c>
      <c r="C124" s="6" t="n">
        <v>8</v>
      </c>
      <c r="D124" s="5" t="s">
        <v>68</v>
      </c>
      <c r="E124" s="7"/>
      <c r="F124" s="8" t="s">
        <v>250</v>
      </c>
      <c r="G124" s="6" t="n">
        <v>10</v>
      </c>
      <c r="H124" s="9" t="s">
        <v>15</v>
      </c>
      <c r="I124" s="7"/>
      <c r="J124" s="10"/>
    </row>
  </sheetData>
  <autoFilter ref="A4:J124"/>
  <conditionalFormatting sqref="H5:H124">
    <cfRule type="expression" priority="2" aboveAverage="0" equalAverage="0" bottom="0" percent="0" rank="0" text="" dxfId="6">
      <formula>$H5="Merged"</formula>
    </cfRule>
    <cfRule type="expression" priority="3" aboveAverage="0" equalAverage="0" bottom="0" percent="0" rank="0" text="" dxfId="7">
      <formula>$H5="In review"</formula>
    </cfRule>
    <cfRule type="expression" priority="4" aboveAverage="0" equalAverage="0" bottom="0" percent="0" rank="0" text="" dxfId="8">
      <formula>$H5="In progress"</formula>
    </cfRule>
  </conditionalFormatting>
  <dataValidations count="1">
    <dataValidation allowBlank="false" errorStyle="stop" operator="between" showDropDown="false" showErrorMessage="false" showInputMessage="false" sqref="H5:H124" type="list">
      <formula1>"Not started,In progress,In review,Merged"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12" min="2" style="1" width="11"/>
  </cols>
  <sheetData>
    <row r="1" customFormat="false" ht="17.25" hidden="false" customHeight="true" outlineLevel="0" collapsed="false">
      <c r="A1" s="2" t="s">
        <v>251</v>
      </c>
    </row>
    <row r="2" customFormat="false" ht="15" hidden="false" customHeight="true" outlineLevel="0" collapsed="false">
      <c r="A2" s="3" t="s">
        <v>252</v>
      </c>
    </row>
    <row r="4" customFormat="false" ht="30" hidden="false" customHeight="true" outlineLevel="0" collapsed="false">
      <c r="A4" s="4" t="s">
        <v>5</v>
      </c>
      <c r="B4" s="4" t="s">
        <v>253</v>
      </c>
      <c r="C4" s="4" t="s">
        <v>254</v>
      </c>
      <c r="D4" s="4" t="s">
        <v>255</v>
      </c>
      <c r="E4" s="4" t="s">
        <v>256</v>
      </c>
      <c r="F4" s="4" t="s">
        <v>257</v>
      </c>
      <c r="G4" s="4" t="s">
        <v>258</v>
      </c>
      <c r="H4" s="4" t="s">
        <v>259</v>
      </c>
      <c r="I4" s="4" t="s">
        <v>260</v>
      </c>
      <c r="J4" s="4" t="s">
        <v>261</v>
      </c>
      <c r="K4" s="4" t="s">
        <v>262</v>
      </c>
      <c r="L4" s="4" t="s">
        <v>263</v>
      </c>
    </row>
    <row r="5" customFormat="false" ht="15" hidden="false" customHeight="true" outlineLevel="0" collapsed="false">
      <c r="A5" s="13" t="s">
        <v>13</v>
      </c>
      <c r="B5" s="14" t="n">
        <f aca="false">COUNTIFS('Task Plan'!$D$5:$D$124,$A5,'Task Plan'!$B$5:$B$124,1)</f>
        <v>8</v>
      </c>
      <c r="C5" s="14" t="n">
        <f aca="false">COUNTIFS('Task Plan'!$D$5:$D$124,$A5,'Task Plan'!$B$5:$B$124,1,'Task Plan'!$H$5:$H$124,"Merged")</f>
        <v>0</v>
      </c>
      <c r="D5" s="14" t="n">
        <f aca="false">COUNTIFS('Task Plan'!$D$5:$D$124,$A5,'Task Plan'!$B$5:$B$124,2)</f>
        <v>8</v>
      </c>
      <c r="E5" s="14" t="n">
        <f aca="false">COUNTIFS('Task Plan'!$D$5:$D$124,$A5,'Task Plan'!$B$5:$B$124,2,'Task Plan'!$H$5:$H$124,"Merged")</f>
        <v>0</v>
      </c>
      <c r="F5" s="14" t="n">
        <f aca="false">COUNTIFS('Task Plan'!$D$5:$D$124,$A5,'Task Plan'!$B$5:$B$124,3)</f>
        <v>8</v>
      </c>
      <c r="G5" s="14" t="n">
        <f aca="false">COUNTIFS('Task Plan'!$D$5:$D$124,$A5,'Task Plan'!$B$5:$B$124,3,'Task Plan'!$H$5:$H$124,"Merged")</f>
        <v>0</v>
      </c>
      <c r="H5" s="14" t="n">
        <f aca="false">COUNTIFS('Task Plan'!$D$5:$D$124,$A5,'Task Plan'!$B$5:$B$124,4)</f>
        <v>8</v>
      </c>
      <c r="I5" s="14" t="n">
        <f aca="false">COUNTIFS('Task Plan'!$D$5:$D$124,$A5,'Task Plan'!$B$5:$B$124,4,'Task Plan'!$H$5:$H$124,"Merged")</f>
        <v>0</v>
      </c>
      <c r="J5" s="14" t="n">
        <f aca="false">B5+D5+F5+H5</f>
        <v>32</v>
      </c>
      <c r="K5" s="14" t="n">
        <f aca="false">C5+E5+G5+I5</f>
        <v>0</v>
      </c>
      <c r="L5" s="15" t="n">
        <f aca="false">IF(J5=0,0,K5/J5)</f>
        <v>0</v>
      </c>
    </row>
    <row r="6" customFormat="false" ht="15" hidden="false" customHeight="true" outlineLevel="0" collapsed="false">
      <c r="A6" s="13" t="s">
        <v>31</v>
      </c>
      <c r="B6" s="14" t="n">
        <f aca="false">COUNTIFS('Task Plan'!$D$5:$D$124,$A6,'Task Plan'!$B$5:$B$124,1)</f>
        <v>6</v>
      </c>
      <c r="C6" s="14" t="n">
        <f aca="false">COUNTIFS('Task Plan'!$D$5:$D$124,$A6,'Task Plan'!$B$5:$B$124,1,'Task Plan'!$H$5:$H$124,"Merged")</f>
        <v>0</v>
      </c>
      <c r="D6" s="14" t="n">
        <f aca="false">COUNTIFS('Task Plan'!$D$5:$D$124,$A6,'Task Plan'!$B$5:$B$124,2)</f>
        <v>6</v>
      </c>
      <c r="E6" s="14" t="n">
        <f aca="false">COUNTIFS('Task Plan'!$D$5:$D$124,$A6,'Task Plan'!$B$5:$B$124,2,'Task Plan'!$H$5:$H$124,"Merged")</f>
        <v>0</v>
      </c>
      <c r="F6" s="14" t="n">
        <f aca="false">COUNTIFS('Task Plan'!$D$5:$D$124,$A6,'Task Plan'!$B$5:$B$124,3)</f>
        <v>6</v>
      </c>
      <c r="G6" s="14" t="n">
        <f aca="false">COUNTIFS('Task Plan'!$D$5:$D$124,$A6,'Task Plan'!$B$5:$B$124,3,'Task Plan'!$H$5:$H$124,"Merged")</f>
        <v>0</v>
      </c>
      <c r="H6" s="14" t="n">
        <f aca="false">COUNTIFS('Task Plan'!$D$5:$D$124,$A6,'Task Plan'!$B$5:$B$124,4)</f>
        <v>6</v>
      </c>
      <c r="I6" s="14" t="n">
        <f aca="false">COUNTIFS('Task Plan'!$D$5:$D$124,$A6,'Task Plan'!$B$5:$B$124,4,'Task Plan'!$H$5:$H$124,"Merged")</f>
        <v>0</v>
      </c>
      <c r="J6" s="14" t="n">
        <f aca="false">B6+D6+F6+H6</f>
        <v>24</v>
      </c>
      <c r="K6" s="14" t="n">
        <f aca="false">C6+E6+G6+I6</f>
        <v>0</v>
      </c>
      <c r="L6" s="15" t="n">
        <f aca="false">IF(J6=0,0,K6/J6)</f>
        <v>0</v>
      </c>
    </row>
    <row r="7" customFormat="false" ht="15" hidden="false" customHeight="true" outlineLevel="0" collapsed="false">
      <c r="A7" s="13" t="s">
        <v>44</v>
      </c>
      <c r="B7" s="14" t="n">
        <f aca="false">COUNTIFS('Task Plan'!$D$5:$D$124,$A7,'Task Plan'!$B$5:$B$124,1)</f>
        <v>6</v>
      </c>
      <c r="C7" s="14" t="n">
        <f aca="false">COUNTIFS('Task Plan'!$D$5:$D$124,$A7,'Task Plan'!$B$5:$B$124,1,'Task Plan'!$H$5:$H$124,"Merged")</f>
        <v>0</v>
      </c>
      <c r="D7" s="14" t="n">
        <f aca="false">COUNTIFS('Task Plan'!$D$5:$D$124,$A7,'Task Plan'!$B$5:$B$124,2)</f>
        <v>6</v>
      </c>
      <c r="E7" s="14" t="n">
        <f aca="false">COUNTIFS('Task Plan'!$D$5:$D$124,$A7,'Task Plan'!$B$5:$B$124,2,'Task Plan'!$H$5:$H$124,"Merged")</f>
        <v>0</v>
      </c>
      <c r="F7" s="14" t="n">
        <f aca="false">COUNTIFS('Task Plan'!$D$5:$D$124,$A7,'Task Plan'!$B$5:$B$124,3)</f>
        <v>6</v>
      </c>
      <c r="G7" s="14" t="n">
        <f aca="false">COUNTIFS('Task Plan'!$D$5:$D$124,$A7,'Task Plan'!$B$5:$B$124,3,'Task Plan'!$H$5:$H$124,"Merged")</f>
        <v>0</v>
      </c>
      <c r="H7" s="14" t="n">
        <f aca="false">COUNTIFS('Task Plan'!$D$5:$D$124,$A7,'Task Plan'!$B$5:$B$124,4)</f>
        <v>6</v>
      </c>
      <c r="I7" s="14" t="n">
        <f aca="false">COUNTIFS('Task Plan'!$D$5:$D$124,$A7,'Task Plan'!$B$5:$B$124,4,'Task Plan'!$H$5:$H$124,"Merged")</f>
        <v>0</v>
      </c>
      <c r="J7" s="14" t="n">
        <f aca="false">B7+D7+F7+H7</f>
        <v>24</v>
      </c>
      <c r="K7" s="14" t="n">
        <f aca="false">C7+E7+G7+I7</f>
        <v>0</v>
      </c>
      <c r="L7" s="15" t="n">
        <f aca="false">IF(J7=0,0,K7/J7)</f>
        <v>0</v>
      </c>
    </row>
    <row r="8" customFormat="false" ht="15" hidden="false" customHeight="true" outlineLevel="0" collapsed="false">
      <c r="A8" s="13" t="s">
        <v>57</v>
      </c>
      <c r="B8" s="14" t="n">
        <f aca="false">COUNTIFS('Task Plan'!$D$5:$D$124,$A8,'Task Plan'!$B$5:$B$124,1)</f>
        <v>5</v>
      </c>
      <c r="C8" s="14" t="n">
        <f aca="false">COUNTIFS('Task Plan'!$D$5:$D$124,$A8,'Task Plan'!$B$5:$B$124,1,'Task Plan'!$H$5:$H$124,"Merged")</f>
        <v>0</v>
      </c>
      <c r="D8" s="14" t="n">
        <f aca="false">COUNTIFS('Task Plan'!$D$5:$D$124,$A8,'Task Plan'!$B$5:$B$124,2)</f>
        <v>5</v>
      </c>
      <c r="E8" s="14" t="n">
        <f aca="false">COUNTIFS('Task Plan'!$D$5:$D$124,$A8,'Task Plan'!$B$5:$B$124,2,'Task Plan'!$H$5:$H$124,"Merged")</f>
        <v>0</v>
      </c>
      <c r="F8" s="14" t="n">
        <f aca="false">COUNTIFS('Task Plan'!$D$5:$D$124,$A8,'Task Plan'!$B$5:$B$124,3)</f>
        <v>5</v>
      </c>
      <c r="G8" s="14" t="n">
        <f aca="false">COUNTIFS('Task Plan'!$D$5:$D$124,$A8,'Task Plan'!$B$5:$B$124,3,'Task Plan'!$H$5:$H$124,"Merged")</f>
        <v>0</v>
      </c>
      <c r="H8" s="14" t="n">
        <f aca="false">COUNTIFS('Task Plan'!$D$5:$D$124,$A8,'Task Plan'!$B$5:$B$124,4)</f>
        <v>5</v>
      </c>
      <c r="I8" s="14" t="n">
        <f aca="false">COUNTIFS('Task Plan'!$D$5:$D$124,$A8,'Task Plan'!$B$5:$B$124,4,'Task Plan'!$H$5:$H$124,"Merged")</f>
        <v>0</v>
      </c>
      <c r="J8" s="14" t="n">
        <f aca="false">B8+D8+F8+H8</f>
        <v>20</v>
      </c>
      <c r="K8" s="14" t="n">
        <f aca="false">C8+E8+G8+I8</f>
        <v>0</v>
      </c>
      <c r="L8" s="15" t="n">
        <f aca="false">IF(J8=0,0,K8/J8)</f>
        <v>0</v>
      </c>
    </row>
    <row r="9" customFormat="false" ht="15" hidden="false" customHeight="true" outlineLevel="0" collapsed="false">
      <c r="A9" s="13" t="s">
        <v>68</v>
      </c>
      <c r="B9" s="14" t="n">
        <f aca="false">COUNTIFS('Task Plan'!$D$5:$D$124,$A9,'Task Plan'!$B$5:$B$124,1)</f>
        <v>5</v>
      </c>
      <c r="C9" s="14" t="n">
        <f aca="false">COUNTIFS('Task Plan'!$D$5:$D$124,$A9,'Task Plan'!$B$5:$B$124,1,'Task Plan'!$H$5:$H$124,"Merged")</f>
        <v>0</v>
      </c>
      <c r="D9" s="14" t="n">
        <f aca="false">COUNTIFS('Task Plan'!$D$5:$D$124,$A9,'Task Plan'!$B$5:$B$124,2)</f>
        <v>5</v>
      </c>
      <c r="E9" s="14" t="n">
        <f aca="false">COUNTIFS('Task Plan'!$D$5:$D$124,$A9,'Task Plan'!$B$5:$B$124,2,'Task Plan'!$H$5:$H$124,"Merged")</f>
        <v>0</v>
      </c>
      <c r="F9" s="14" t="n">
        <f aca="false">COUNTIFS('Task Plan'!$D$5:$D$124,$A9,'Task Plan'!$B$5:$B$124,3)</f>
        <v>5</v>
      </c>
      <c r="G9" s="14" t="n">
        <f aca="false">COUNTIFS('Task Plan'!$D$5:$D$124,$A9,'Task Plan'!$B$5:$B$124,3,'Task Plan'!$H$5:$H$124,"Merged")</f>
        <v>0</v>
      </c>
      <c r="H9" s="14" t="n">
        <f aca="false">COUNTIFS('Task Plan'!$D$5:$D$124,$A9,'Task Plan'!$B$5:$B$124,4)</f>
        <v>5</v>
      </c>
      <c r="I9" s="14" t="n">
        <f aca="false">COUNTIFS('Task Plan'!$D$5:$D$124,$A9,'Task Plan'!$B$5:$B$124,4,'Task Plan'!$H$5:$H$124,"Merged")</f>
        <v>0</v>
      </c>
      <c r="J9" s="14" t="n">
        <f aca="false">B9+D9+F9+H9</f>
        <v>20</v>
      </c>
      <c r="K9" s="14" t="n">
        <f aca="false">C9+E9+G9+I9</f>
        <v>0</v>
      </c>
      <c r="L9" s="15" t="n">
        <f aca="false">IF(J9=0,0,K9/J9)</f>
        <v>0</v>
      </c>
    </row>
    <row r="10" customFormat="false" ht="15" hidden="false" customHeight="true" outlineLevel="0" collapsed="false">
      <c r="A10" s="13" t="s">
        <v>264</v>
      </c>
      <c r="B10" s="16" t="n">
        <f aca="false">SUM(B5:B9)</f>
        <v>30</v>
      </c>
      <c r="C10" s="16" t="n">
        <f aca="false">SUM(C5:C9)</f>
        <v>0</v>
      </c>
      <c r="D10" s="16" t="n">
        <f aca="false">SUM(D5:D9)</f>
        <v>30</v>
      </c>
      <c r="E10" s="16" t="n">
        <f aca="false">SUM(E5:E9)</f>
        <v>0</v>
      </c>
      <c r="F10" s="16" t="n">
        <f aca="false">SUM(F5:F9)</f>
        <v>30</v>
      </c>
      <c r="G10" s="16" t="n">
        <f aca="false">SUM(G5:G9)</f>
        <v>0</v>
      </c>
      <c r="H10" s="16" t="n">
        <f aca="false">SUM(H5:H9)</f>
        <v>30</v>
      </c>
      <c r="I10" s="16" t="n">
        <f aca="false">SUM(I5:I9)</f>
        <v>0</v>
      </c>
      <c r="J10" s="16" t="n">
        <f aca="false">SUM(J5:J9)</f>
        <v>120</v>
      </c>
      <c r="K10" s="16" t="n">
        <f aca="false">SUM(K5:K9)</f>
        <v>0</v>
      </c>
      <c r="L10" s="17" t="n">
        <f aca="false">IF(J10=0,0,K10/J10)</f>
        <v>0</v>
      </c>
    </row>
    <row r="12" customFormat="false" ht="15" hidden="false" customHeight="true" outlineLevel="0" collapsed="false">
      <c r="A12" s="3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7"/>
    <col collapsed="false" customWidth="true" hidden="false" outlineLevel="0" max="4" min="4" style="0" width="48"/>
    <col collapsed="false" customWidth="true" hidden="false" outlineLevel="0" max="5" min="5" style="0" width="52"/>
    <col collapsed="false" customWidth="true" hidden="false" outlineLevel="0" max="7" min="6" style="0" width="10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8" t="s">
        <v>266</v>
      </c>
    </row>
    <row r="2" customFormat="false" ht="15" hidden="false" customHeight="false" outlineLevel="0" collapsed="false">
      <c r="A2" s="19" t="s">
        <v>267</v>
      </c>
    </row>
    <row r="3" customFormat="false" ht="15" hidden="false" customHeight="false" outlineLevel="0" collapsed="false">
      <c r="A3" s="20" t="s">
        <v>268</v>
      </c>
      <c r="B3" s="19" t="n">
        <f aca="false">COUNTA('Task Plan'!A5:A124)</f>
        <v>120</v>
      </c>
      <c r="C3" s="20" t="s">
        <v>269</v>
      </c>
      <c r="D3" s="19" t="n">
        <f aca="false">MAX('Task Plan'!C5:C124)</f>
        <v>8</v>
      </c>
      <c r="E3" s="20" t="s">
        <v>270</v>
      </c>
      <c r="F3" s="19" t="n">
        <f aca="false">COUNTA(A6:A37)</f>
        <v>32</v>
      </c>
    </row>
    <row r="5" customFormat="false" ht="30" hidden="false" customHeight="true" outlineLevel="0" collapsed="false">
      <c r="A5" s="21" t="s">
        <v>2</v>
      </c>
      <c r="B5" s="21" t="s">
        <v>5</v>
      </c>
      <c r="C5" s="21" t="s">
        <v>3</v>
      </c>
      <c r="D5" s="21" t="s">
        <v>271</v>
      </c>
      <c r="E5" s="21" t="s">
        <v>272</v>
      </c>
      <c r="F5" s="21" t="s">
        <v>273</v>
      </c>
      <c r="G5" s="21" t="s">
        <v>274</v>
      </c>
      <c r="H5" s="21" t="s">
        <v>275</v>
      </c>
    </row>
    <row r="6" customFormat="false" ht="35.05" hidden="false" customHeight="false" outlineLevel="0" collapsed="false">
      <c r="A6" s="8" t="s">
        <v>18</v>
      </c>
      <c r="B6" s="8" t="s">
        <v>13</v>
      </c>
      <c r="C6" s="22" t="n">
        <v>1</v>
      </c>
      <c r="D6" s="8" t="s">
        <v>276</v>
      </c>
      <c r="E6" s="8" t="s">
        <v>19</v>
      </c>
      <c r="F6" s="22" t="n">
        <v>5</v>
      </c>
      <c r="G6" s="22" t="n">
        <v>6</v>
      </c>
      <c r="H6" s="8" t="s">
        <v>277</v>
      </c>
    </row>
    <row r="7" customFormat="false" ht="23.85" hidden="false" customHeight="false" outlineLevel="0" collapsed="false">
      <c r="A7" s="8" t="s">
        <v>20</v>
      </c>
      <c r="B7" s="8" t="s">
        <v>13</v>
      </c>
      <c r="C7" s="22" t="n">
        <v>1</v>
      </c>
      <c r="D7" s="8" t="s">
        <v>278</v>
      </c>
      <c r="E7" s="8" t="s">
        <v>21</v>
      </c>
      <c r="F7" s="22" t="n">
        <v>6</v>
      </c>
      <c r="G7" s="22" t="n">
        <v>7</v>
      </c>
      <c r="H7" s="8" t="s">
        <v>279</v>
      </c>
    </row>
    <row r="8" customFormat="false" ht="35.05" hidden="false" customHeight="false" outlineLevel="0" collapsed="false">
      <c r="A8" s="8" t="s">
        <v>22</v>
      </c>
      <c r="B8" s="8" t="s">
        <v>13</v>
      </c>
      <c r="C8" s="22" t="n">
        <v>1</v>
      </c>
      <c r="D8" s="8" t="s">
        <v>21</v>
      </c>
      <c r="E8" s="8" t="s">
        <v>23</v>
      </c>
      <c r="F8" s="22" t="n">
        <v>7</v>
      </c>
      <c r="G8" s="22" t="n">
        <v>8</v>
      </c>
      <c r="H8" s="8" t="s">
        <v>280</v>
      </c>
    </row>
    <row r="9" customFormat="false" ht="46.25" hidden="false" customHeight="false" outlineLevel="0" collapsed="false">
      <c r="A9" s="8" t="s">
        <v>26</v>
      </c>
      <c r="B9" s="8" t="s">
        <v>13</v>
      </c>
      <c r="C9" s="22" t="n">
        <v>1</v>
      </c>
      <c r="D9" s="8" t="s">
        <v>281</v>
      </c>
      <c r="E9" s="8" t="s">
        <v>27</v>
      </c>
      <c r="F9" s="22" t="n">
        <v>9</v>
      </c>
      <c r="G9" s="22" t="n">
        <v>9</v>
      </c>
      <c r="H9" s="8" t="s">
        <v>282</v>
      </c>
    </row>
    <row r="10" customFormat="false" ht="23.85" hidden="false" customHeight="false" outlineLevel="0" collapsed="false">
      <c r="A10" s="8" t="s">
        <v>28</v>
      </c>
      <c r="B10" s="8" t="s">
        <v>13</v>
      </c>
      <c r="C10" s="22" t="n">
        <v>1</v>
      </c>
      <c r="D10" s="8" t="s">
        <v>283</v>
      </c>
      <c r="E10" s="8" t="s">
        <v>29</v>
      </c>
      <c r="F10" s="22" t="n">
        <v>9</v>
      </c>
      <c r="G10" s="22" t="n">
        <v>9</v>
      </c>
      <c r="H10" s="8" t="s">
        <v>284</v>
      </c>
    </row>
    <row r="11" customFormat="false" ht="23.85" hidden="false" customHeight="false" outlineLevel="0" collapsed="false">
      <c r="A11" s="8" t="s">
        <v>35</v>
      </c>
      <c r="B11" s="8" t="s">
        <v>31</v>
      </c>
      <c r="C11" s="22" t="n">
        <v>1</v>
      </c>
      <c r="D11" s="8" t="s">
        <v>285</v>
      </c>
      <c r="E11" s="8" t="s">
        <v>36</v>
      </c>
      <c r="F11" s="22" t="n">
        <v>4</v>
      </c>
      <c r="G11" s="22" t="n">
        <v>4</v>
      </c>
      <c r="H11" s="8" t="s">
        <v>286</v>
      </c>
    </row>
    <row r="12" customFormat="false" ht="57.45" hidden="false" customHeight="false" outlineLevel="0" collapsed="false">
      <c r="A12" s="8" t="s">
        <v>39</v>
      </c>
      <c r="B12" s="8" t="s">
        <v>31</v>
      </c>
      <c r="C12" s="22" t="n">
        <v>1</v>
      </c>
      <c r="D12" s="8" t="s">
        <v>287</v>
      </c>
      <c r="E12" s="8" t="s">
        <v>40</v>
      </c>
      <c r="F12" s="22" t="n">
        <v>5</v>
      </c>
      <c r="G12" s="22" t="n">
        <v>5</v>
      </c>
      <c r="H12" s="8" t="s">
        <v>288</v>
      </c>
    </row>
    <row r="13" customFormat="false" ht="23.85" hidden="false" customHeight="false" outlineLevel="0" collapsed="false">
      <c r="A13" s="8" t="s">
        <v>46</v>
      </c>
      <c r="B13" s="8" t="s">
        <v>44</v>
      </c>
      <c r="C13" s="22" t="n">
        <v>1</v>
      </c>
      <c r="D13" s="8" t="s">
        <v>289</v>
      </c>
      <c r="E13" s="8" t="s">
        <v>47</v>
      </c>
      <c r="F13" s="22" t="n">
        <v>5</v>
      </c>
      <c r="G13" s="22" t="n">
        <v>7</v>
      </c>
      <c r="H13" s="8" t="s">
        <v>290</v>
      </c>
    </row>
    <row r="14" customFormat="false" ht="35.05" hidden="false" customHeight="false" outlineLevel="0" collapsed="false">
      <c r="A14" s="8" t="s">
        <v>48</v>
      </c>
      <c r="B14" s="8" t="s">
        <v>44</v>
      </c>
      <c r="C14" s="22" t="n">
        <v>1</v>
      </c>
      <c r="D14" s="8" t="s">
        <v>291</v>
      </c>
      <c r="E14" s="8" t="s">
        <v>49</v>
      </c>
      <c r="F14" s="22" t="n">
        <v>7</v>
      </c>
      <c r="G14" s="22" t="n">
        <v>8</v>
      </c>
      <c r="H14" s="8" t="s">
        <v>292</v>
      </c>
    </row>
    <row r="15" customFormat="false" ht="35.05" hidden="false" customHeight="false" outlineLevel="0" collapsed="false">
      <c r="A15" s="8" t="s">
        <v>50</v>
      </c>
      <c r="B15" s="8" t="s">
        <v>44</v>
      </c>
      <c r="C15" s="22" t="n">
        <v>1</v>
      </c>
      <c r="D15" s="8" t="s">
        <v>293</v>
      </c>
      <c r="E15" s="8" t="s">
        <v>51</v>
      </c>
      <c r="F15" s="22" t="n">
        <v>9</v>
      </c>
      <c r="G15" s="22" t="n">
        <v>9</v>
      </c>
      <c r="H15" s="8" t="s">
        <v>294</v>
      </c>
    </row>
    <row r="16" customFormat="false" ht="23.85" hidden="false" customHeight="false" outlineLevel="0" collapsed="false">
      <c r="A16" s="8" t="s">
        <v>61</v>
      </c>
      <c r="B16" s="8" t="s">
        <v>57</v>
      </c>
      <c r="C16" s="22" t="n">
        <v>1</v>
      </c>
      <c r="D16" s="8" t="s">
        <v>295</v>
      </c>
      <c r="E16" s="8" t="s">
        <v>62</v>
      </c>
      <c r="F16" s="22" t="n">
        <v>4</v>
      </c>
      <c r="G16" s="22" t="n">
        <v>4</v>
      </c>
      <c r="H16" s="8" t="s">
        <v>296</v>
      </c>
    </row>
    <row r="17" customFormat="false" ht="23.85" hidden="false" customHeight="false" outlineLevel="0" collapsed="false">
      <c r="A17" s="8" t="s">
        <v>63</v>
      </c>
      <c r="B17" s="8" t="s">
        <v>57</v>
      </c>
      <c r="C17" s="22" t="n">
        <v>1</v>
      </c>
      <c r="D17" s="8" t="s">
        <v>297</v>
      </c>
      <c r="E17" s="8" t="s">
        <v>64</v>
      </c>
      <c r="F17" s="22" t="n">
        <v>6</v>
      </c>
      <c r="G17" s="22" t="n">
        <v>6</v>
      </c>
      <c r="H17" s="8" t="s">
        <v>298</v>
      </c>
    </row>
    <row r="18" customFormat="false" ht="23.85" hidden="false" customHeight="false" outlineLevel="0" collapsed="false">
      <c r="A18" s="8" t="s">
        <v>70</v>
      </c>
      <c r="B18" s="8" t="s">
        <v>68</v>
      </c>
      <c r="C18" s="22" t="n">
        <v>1</v>
      </c>
      <c r="D18" s="8" t="s">
        <v>299</v>
      </c>
      <c r="E18" s="8" t="s">
        <v>71</v>
      </c>
      <c r="F18" s="22" t="n">
        <v>1</v>
      </c>
      <c r="G18" s="22" t="n">
        <v>1</v>
      </c>
      <c r="H18" s="8" t="s">
        <v>300</v>
      </c>
    </row>
    <row r="19" customFormat="false" ht="15" hidden="false" customHeight="false" outlineLevel="0" collapsed="false">
      <c r="A19" s="8" t="s">
        <v>90</v>
      </c>
      <c r="B19" s="8" t="s">
        <v>13</v>
      </c>
      <c r="C19" s="22" t="n">
        <v>2</v>
      </c>
      <c r="D19" s="8" t="s">
        <v>301</v>
      </c>
      <c r="E19" s="8" t="s">
        <v>91</v>
      </c>
      <c r="F19" s="22" t="n">
        <v>8</v>
      </c>
      <c r="G19" s="22" t="n">
        <v>8</v>
      </c>
      <c r="H19" s="8" t="s">
        <v>302</v>
      </c>
    </row>
    <row r="20" customFormat="false" ht="23.85" hidden="false" customHeight="false" outlineLevel="0" collapsed="false">
      <c r="A20" s="8" t="s">
        <v>92</v>
      </c>
      <c r="B20" s="8" t="s">
        <v>13</v>
      </c>
      <c r="C20" s="22" t="n">
        <v>2</v>
      </c>
      <c r="D20" s="8" t="s">
        <v>303</v>
      </c>
      <c r="E20" s="8" t="s">
        <v>93</v>
      </c>
      <c r="F20" s="22" t="n">
        <v>9</v>
      </c>
      <c r="G20" s="22" t="n">
        <v>9</v>
      </c>
      <c r="H20" s="8" t="s">
        <v>304</v>
      </c>
    </row>
    <row r="21" customFormat="false" ht="23.85" hidden="false" customHeight="false" outlineLevel="0" collapsed="false">
      <c r="A21" s="8" t="s">
        <v>112</v>
      </c>
      <c r="B21" s="8" t="s">
        <v>44</v>
      </c>
      <c r="C21" s="22" t="n">
        <v>2</v>
      </c>
      <c r="D21" s="8" t="s">
        <v>305</v>
      </c>
      <c r="E21" s="8" t="s">
        <v>113</v>
      </c>
      <c r="F21" s="22" t="n">
        <v>8</v>
      </c>
      <c r="G21" s="22" t="n">
        <v>8</v>
      </c>
      <c r="H21" s="8" t="s">
        <v>304</v>
      </c>
    </row>
    <row r="22" customFormat="false" ht="23.85" hidden="false" customHeight="false" outlineLevel="0" collapsed="false">
      <c r="A22" s="8" t="s">
        <v>147</v>
      </c>
      <c r="B22" s="8" t="s">
        <v>13</v>
      </c>
      <c r="C22" s="22" t="n">
        <v>3</v>
      </c>
      <c r="D22" s="8" t="s">
        <v>306</v>
      </c>
      <c r="E22" s="8" t="s">
        <v>148</v>
      </c>
      <c r="F22" s="22" t="n">
        <v>7</v>
      </c>
      <c r="G22" s="22" t="n">
        <v>7</v>
      </c>
      <c r="H22" s="8" t="s">
        <v>307</v>
      </c>
    </row>
    <row r="23" customFormat="false" ht="23.85" hidden="false" customHeight="false" outlineLevel="0" collapsed="false">
      <c r="A23" s="8" t="s">
        <v>151</v>
      </c>
      <c r="B23" s="8" t="s">
        <v>13</v>
      </c>
      <c r="C23" s="22" t="n">
        <v>3</v>
      </c>
      <c r="D23" s="8" t="s">
        <v>308</v>
      </c>
      <c r="E23" s="8" t="s">
        <v>152</v>
      </c>
      <c r="F23" s="22" t="n">
        <v>9</v>
      </c>
      <c r="G23" s="22" t="n">
        <v>9</v>
      </c>
      <c r="H23" s="8" t="s">
        <v>309</v>
      </c>
    </row>
    <row r="24" customFormat="false" ht="15" hidden="false" customHeight="false" outlineLevel="0" collapsed="false">
      <c r="A24" s="8" t="s">
        <v>171</v>
      </c>
      <c r="B24" s="8" t="s">
        <v>44</v>
      </c>
      <c r="C24" s="22" t="n">
        <v>3</v>
      </c>
      <c r="D24" s="8" t="s">
        <v>310</v>
      </c>
      <c r="E24" s="8" t="s">
        <v>172</v>
      </c>
      <c r="F24" s="22" t="n">
        <v>8</v>
      </c>
      <c r="G24" s="22" t="n">
        <v>8</v>
      </c>
      <c r="H24" s="8" t="s">
        <v>304</v>
      </c>
    </row>
    <row r="25" customFormat="false" ht="23.85" hidden="false" customHeight="false" outlineLevel="0" collapsed="false">
      <c r="A25" s="8" t="s">
        <v>193</v>
      </c>
      <c r="B25" s="8" t="s">
        <v>13</v>
      </c>
      <c r="C25" s="22" t="n">
        <v>4</v>
      </c>
      <c r="D25" s="8" t="s">
        <v>311</v>
      </c>
      <c r="E25" s="8" t="s">
        <v>194</v>
      </c>
      <c r="F25" s="22" t="n">
        <v>2</v>
      </c>
      <c r="G25" s="22" t="n">
        <v>3</v>
      </c>
      <c r="H25" s="8" t="s">
        <v>312</v>
      </c>
    </row>
    <row r="26" customFormat="false" ht="23.85" hidden="false" customHeight="false" outlineLevel="0" collapsed="false">
      <c r="A26" s="8" t="s">
        <v>195</v>
      </c>
      <c r="B26" s="8" t="s">
        <v>13</v>
      </c>
      <c r="C26" s="22" t="n">
        <v>4</v>
      </c>
      <c r="D26" s="8" t="s">
        <v>313</v>
      </c>
      <c r="E26" s="8" t="s">
        <v>196</v>
      </c>
      <c r="F26" s="22" t="n">
        <v>3</v>
      </c>
      <c r="G26" s="22" t="n">
        <v>5</v>
      </c>
      <c r="H26" s="8" t="s">
        <v>314</v>
      </c>
    </row>
    <row r="27" customFormat="false" ht="15" hidden="false" customHeight="false" outlineLevel="0" collapsed="false">
      <c r="A27" s="8" t="s">
        <v>197</v>
      </c>
      <c r="B27" s="8" t="s">
        <v>13</v>
      </c>
      <c r="C27" s="22" t="n">
        <v>4</v>
      </c>
      <c r="D27" s="8" t="s">
        <v>315</v>
      </c>
      <c r="E27" s="8" t="s">
        <v>198</v>
      </c>
      <c r="F27" s="22" t="n">
        <v>4</v>
      </c>
      <c r="G27" s="22" t="n">
        <v>6</v>
      </c>
      <c r="H27" s="8" t="s">
        <v>316</v>
      </c>
    </row>
    <row r="28" customFormat="false" ht="35.05" hidden="false" customHeight="false" outlineLevel="0" collapsed="false">
      <c r="A28" s="8" t="s">
        <v>199</v>
      </c>
      <c r="B28" s="8" t="s">
        <v>13</v>
      </c>
      <c r="C28" s="22" t="n">
        <v>4</v>
      </c>
      <c r="D28" s="8" t="s">
        <v>317</v>
      </c>
      <c r="E28" s="8" t="s">
        <v>200</v>
      </c>
      <c r="F28" s="22" t="n">
        <v>5</v>
      </c>
      <c r="G28" s="22" t="n">
        <v>6</v>
      </c>
      <c r="H28" s="8" t="s">
        <v>318</v>
      </c>
    </row>
    <row r="29" customFormat="false" ht="35.05" hidden="false" customHeight="false" outlineLevel="0" collapsed="false">
      <c r="A29" s="8" t="s">
        <v>201</v>
      </c>
      <c r="B29" s="8" t="s">
        <v>13</v>
      </c>
      <c r="C29" s="22" t="n">
        <v>4</v>
      </c>
      <c r="D29" s="8" t="s">
        <v>198</v>
      </c>
      <c r="E29" s="8" t="s">
        <v>202</v>
      </c>
      <c r="F29" s="22" t="n">
        <v>6</v>
      </c>
      <c r="G29" s="22" t="n">
        <v>7</v>
      </c>
      <c r="H29" s="8" t="s">
        <v>319</v>
      </c>
    </row>
    <row r="30" customFormat="false" ht="15" hidden="false" customHeight="false" outlineLevel="0" collapsed="false">
      <c r="A30" s="8" t="s">
        <v>203</v>
      </c>
      <c r="B30" s="8" t="s">
        <v>13</v>
      </c>
      <c r="C30" s="22" t="n">
        <v>4</v>
      </c>
      <c r="D30" s="8" t="s">
        <v>204</v>
      </c>
      <c r="E30" s="8" t="s">
        <v>204</v>
      </c>
      <c r="F30" s="22" t="n">
        <v>7</v>
      </c>
      <c r="G30" s="22" t="n">
        <v>7</v>
      </c>
      <c r="H30" s="8" t="s">
        <v>320</v>
      </c>
    </row>
    <row r="31" customFormat="false" ht="23.85" hidden="false" customHeight="false" outlineLevel="0" collapsed="false">
      <c r="A31" s="8" t="s">
        <v>205</v>
      </c>
      <c r="B31" s="8" t="s">
        <v>13</v>
      </c>
      <c r="C31" s="22" t="n">
        <v>4</v>
      </c>
      <c r="D31" s="8" t="s">
        <v>321</v>
      </c>
      <c r="E31" s="8" t="s">
        <v>206</v>
      </c>
      <c r="F31" s="22" t="n">
        <v>8</v>
      </c>
      <c r="G31" s="22" t="n">
        <v>8</v>
      </c>
      <c r="H31" s="8" t="s">
        <v>322</v>
      </c>
    </row>
    <row r="32" customFormat="false" ht="23.85" hidden="false" customHeight="false" outlineLevel="0" collapsed="false">
      <c r="A32" s="8" t="s">
        <v>213</v>
      </c>
      <c r="B32" s="8" t="s">
        <v>31</v>
      </c>
      <c r="C32" s="22" t="n">
        <v>4</v>
      </c>
      <c r="D32" s="8" t="s">
        <v>323</v>
      </c>
      <c r="E32" s="8" t="s">
        <v>214</v>
      </c>
      <c r="F32" s="22" t="n">
        <v>5</v>
      </c>
      <c r="G32" s="22" t="n">
        <v>5</v>
      </c>
      <c r="H32" s="8" t="s">
        <v>324</v>
      </c>
    </row>
    <row r="33" customFormat="false" ht="23.85" hidden="false" customHeight="false" outlineLevel="0" collapsed="false">
      <c r="A33" s="8" t="s">
        <v>237</v>
      </c>
      <c r="B33" s="8" t="s">
        <v>57</v>
      </c>
      <c r="C33" s="22" t="n">
        <v>4</v>
      </c>
      <c r="D33" s="8" t="s">
        <v>325</v>
      </c>
      <c r="E33" s="8" t="s">
        <v>238</v>
      </c>
      <c r="F33" s="22" t="n">
        <v>4</v>
      </c>
      <c r="G33" s="22" t="n">
        <v>4</v>
      </c>
      <c r="H33" s="8" t="s">
        <v>326</v>
      </c>
    </row>
    <row r="34" customFormat="false" ht="15" hidden="false" customHeight="false" outlineLevel="0" collapsed="false">
      <c r="A34" s="8" t="s">
        <v>221</v>
      </c>
      <c r="B34" s="8" t="s">
        <v>44</v>
      </c>
      <c r="C34" s="22" t="n">
        <v>4</v>
      </c>
      <c r="D34" s="8" t="s">
        <v>327</v>
      </c>
      <c r="E34" s="8" t="s">
        <v>222</v>
      </c>
      <c r="F34" s="22" t="n">
        <v>3</v>
      </c>
      <c r="G34" s="22" t="n">
        <v>5</v>
      </c>
      <c r="H34" s="8" t="s">
        <v>328</v>
      </c>
    </row>
    <row r="35" customFormat="false" ht="15" hidden="false" customHeight="false" outlineLevel="0" collapsed="false">
      <c r="A35" s="8" t="s">
        <v>223</v>
      </c>
      <c r="B35" s="8" t="s">
        <v>44</v>
      </c>
      <c r="C35" s="22" t="n">
        <v>4</v>
      </c>
      <c r="D35" s="8" t="s">
        <v>329</v>
      </c>
      <c r="E35" s="8" t="s">
        <v>224</v>
      </c>
      <c r="F35" s="22" t="n">
        <v>5</v>
      </c>
      <c r="G35" s="22" t="n">
        <v>7</v>
      </c>
      <c r="H35" s="8" t="s">
        <v>330</v>
      </c>
    </row>
    <row r="36" customFormat="false" ht="23.85" hidden="false" customHeight="false" outlineLevel="0" collapsed="false">
      <c r="A36" s="8" t="s">
        <v>225</v>
      </c>
      <c r="B36" s="8" t="s">
        <v>44</v>
      </c>
      <c r="C36" s="22" t="n">
        <v>4</v>
      </c>
      <c r="D36" s="8" t="s">
        <v>224</v>
      </c>
      <c r="E36" s="8" t="s">
        <v>226</v>
      </c>
      <c r="F36" s="22" t="n">
        <v>7</v>
      </c>
      <c r="G36" s="22" t="n">
        <v>8</v>
      </c>
      <c r="H36" s="8" t="s">
        <v>331</v>
      </c>
    </row>
    <row r="37" customFormat="false" ht="23.85" hidden="false" customHeight="false" outlineLevel="0" collapsed="false">
      <c r="A37" s="8" t="s">
        <v>227</v>
      </c>
      <c r="B37" s="8" t="s">
        <v>44</v>
      </c>
      <c r="C37" s="22" t="n">
        <v>4</v>
      </c>
      <c r="D37" s="8" t="s">
        <v>332</v>
      </c>
      <c r="E37" s="8" t="s">
        <v>228</v>
      </c>
      <c r="F37" s="22" t="n">
        <v>8</v>
      </c>
      <c r="G37" s="22" t="n">
        <v>8</v>
      </c>
      <c r="H37" s="8" t="s">
        <v>333</v>
      </c>
    </row>
  </sheetData>
  <autoFilter ref="A5:H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2026-10-12T04:22:48Z</dcterms:created>
  <dc:creator>openpyxl</dc:creator>
  <dc:description/>
  <dc:language>en-US</dc:language>
  <cp:lastModifiedBy/>
  <dcterms:modified xsi:type="dcterms:W3CDTF">2026-10-13T09:13:35Z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